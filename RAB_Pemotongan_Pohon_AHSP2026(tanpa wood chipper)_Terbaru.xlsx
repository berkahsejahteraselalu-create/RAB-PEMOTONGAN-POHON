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HSP Detail" sheetId="2" state="visible" r:id="rId2"/>
    <sheet xmlns:r="http://schemas.openxmlformats.org/officeDocument/2006/relationships" name="RAB Rekapitul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Rp &quot;* #,##0_);_(&quot;Rp &quot;* (#,##0);_(&quot;Rp &quot;* &quot;-&quot;_);_(@_)"/>
    <numFmt numFmtId="165" formatCode="0.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i val="1"/>
      <color rgb="00081C15"/>
      <sz val="9.5"/>
    </font>
    <font>
      <name val="Segoe UI"/>
      <b val="1"/>
      <color rgb="001B4332"/>
      <sz val="9.5"/>
    </font>
    <font>
      <name val="Segoe UI"/>
      <color rgb="00000000"/>
      <sz val="9.5"/>
    </font>
    <font>
      <name val="Segoe UI"/>
      <b val="1"/>
      <color rgb="00FFFFFF"/>
      <sz val="11"/>
    </font>
    <font>
      <name val="Segoe UI"/>
      <b val="1"/>
      <color rgb="00000000"/>
      <sz val="9.5"/>
    </font>
    <font>
      <name val="Segoe UI"/>
      <b val="1"/>
      <color rgb="00081C15"/>
      <sz val="11"/>
    </font>
    <font>
      <name val="Segoe UI"/>
      <b val="1"/>
      <color rgb="00081C15"/>
      <sz val="10"/>
    </font>
    <font>
      <name val="Segoe UI"/>
      <i val="1"/>
      <color rgb="002D6A4F"/>
      <sz val="9.5"/>
    </font>
    <font>
      <name val="Segoe UI"/>
      <b val="1"/>
      <color rgb="00FFFFFF"/>
      <sz val="10.5"/>
    </font>
  </fonts>
  <fills count="8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2D6A4F"/>
        <bgColor rgb="002D6A4F"/>
      </patternFill>
    </fill>
    <fill>
      <patternFill patternType="solid">
        <fgColor rgb="00D8F3DC"/>
        <bgColor rgb="00D8F3DC"/>
      </patternFill>
    </fill>
    <fill>
      <patternFill patternType="solid">
        <fgColor rgb="00E9F5EC"/>
        <bgColor rgb="00E9F5EC"/>
      </patternFill>
    </fill>
    <fill>
      <patternFill patternType="solid">
        <fgColor rgb="00F4F9F5"/>
        <bgColor rgb="00F4F9F5"/>
      </patternFill>
    </fill>
    <fill>
      <patternFill patternType="solid">
        <fgColor rgb="00F8FBF9"/>
        <bgColor rgb="00F8FBF9"/>
      </patternFill>
    </fill>
  </fills>
  <borders count="5">
    <border>
      <left/>
      <right/>
      <top/>
      <bottom/>
      <diagonal/>
    </border>
    <border>
      <left style="medium">
        <color rgb="002D6A4F"/>
      </left>
      <right style="medium">
        <color rgb="002D6A4F"/>
      </right>
      <top style="medium">
        <color rgb="002D6A4F"/>
      </top>
      <bottom style="medium">
        <color rgb="002D6A4F"/>
      </bottom>
    </border>
    <border>
      <left style="thin">
        <color rgb="00D0D7D1"/>
      </left>
      <right style="thin">
        <color rgb="00D0D7D1"/>
      </right>
      <top style="thin">
        <color rgb="00D0D7D1"/>
      </top>
      <bottom style="thin">
        <color rgb="00D0D7D1"/>
      </bottom>
    </border>
    <border>
      <left style="medium">
        <color rgb="002D6A4F"/>
      </left>
      <right style="thin">
        <color rgb="00D0D7D1"/>
      </right>
      <top style="thin">
        <color rgb="00D0D7D1"/>
      </top>
      <bottom style="thin">
        <color rgb="00D0D7D1"/>
      </bottom>
    </border>
    <border>
      <left style="medium">
        <color rgb="002D6A4F"/>
      </left>
      <right style="medium">
        <color rgb="002D6A4F"/>
      </right>
      <top style="medium">
        <color rgb="002D6A4F"/>
      </top>
      <bottom style="double">
        <color rgb="001E4D2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0" fontId="4" fillId="6" borderId="2" applyAlignment="1" pivotButton="0" quotePrefix="0" xfId="0">
      <alignment horizontal="left" vertical="center"/>
    </xf>
    <xf numFmtId="0" fontId="4" fillId="6" borderId="2" pivotButton="0" quotePrefix="0" xfId="0"/>
    <xf numFmtId="164" fontId="4" fillId="6" borderId="2" applyAlignment="1" pivotButton="0" quotePrefix="0" xfId="0">
      <alignment horizontal="right" vertical="center"/>
    </xf>
    <xf numFmtId="0" fontId="6" fillId="2" borderId="4" applyAlignment="1" pivotButton="0" quotePrefix="0" xfId="0">
      <alignment horizontal="left" vertical="center"/>
    </xf>
    <xf numFmtId="0" fontId="6" fillId="2" borderId="4" pivotButton="0" quotePrefix="0" xfId="0"/>
    <xf numFmtId="164" fontId="6" fillId="2" borderId="4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0" fontId="0" fillId="7" borderId="2" pivotButton="0" quotePrefix="0" xfId="0"/>
    <xf numFmtId="0" fontId="4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9" fillId="4" borderId="2" pivotButton="0" quotePrefix="0" xfId="0"/>
    <xf numFmtId="0" fontId="0" fillId="4" borderId="2" pivotButton="0" quotePrefix="0" xfId="0"/>
    <xf numFmtId="164" fontId="9" fillId="4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/>
    </xf>
    <xf numFmtId="0" fontId="10" fillId="0" borderId="2" pivotButton="0" quotePrefix="0" xfId="0"/>
    <xf numFmtId="164" fontId="10" fillId="0" borderId="2" applyAlignment="1" pivotButton="0" quotePrefix="0" xfId="0">
      <alignment horizontal="right" vertical="center"/>
    </xf>
    <xf numFmtId="0" fontId="11" fillId="2" borderId="4" applyAlignment="1" pivotButton="0" quotePrefix="0" xfId="0">
      <alignment horizontal="center" vertical="center"/>
    </xf>
    <xf numFmtId="0" fontId="11" fillId="2" borderId="4" pivotButton="0" quotePrefix="0" xfId="0"/>
    <xf numFmtId="0" fontId="0" fillId="2" borderId="4" pivotButton="0" quotePrefix="0" xfId="0"/>
    <xf numFmtId="164" fontId="11" fillId="2" borderId="4" applyAlignment="1" pivotButton="0" quotePrefix="0" xfId="0">
      <alignment horizontal="right" vertical="center"/>
    </xf>
    <xf numFmtId="3" fontId="5" fillId="0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0" fontId="4" fillId="5" borderId="2" pivotButton="0" quotePrefix="0" xfId="0"/>
    <xf numFmtId="164" fontId="4" fillId="5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7" borderId="2" pivotButton="0" quotePrefix="0" xfId="0"/>
    <xf numFmtId="164" fontId="7" fillId="7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6" customWidth="1" min="4" max="4"/>
    <col width="16" customWidth="1" min="5" max="5"/>
    <col width="24" customWidth="1" min="6" max="6"/>
  </cols>
  <sheetData>
    <row r="1" ht="36" customHeight="1">
      <c r="A1" s="1" t="inlineStr">
        <is>
          <t>RENCANA ANGGARAN BIAYA (RAB)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PEKERJAAN PEMOTONGAN / PERAMPINGAN POHON</t>
        </is>
      </c>
      <c r="B2" s="2" t="n"/>
      <c r="C2" s="2" t="n"/>
      <c r="D2" s="2" t="n"/>
      <c r="E2" s="2" t="n"/>
      <c r="F2" s="2" t="n"/>
    </row>
    <row r="3" ht="20" customHeight="1">
      <c r="A3" s="3" t="inlineStr">
        <is>
          <t>Berdasarkan SE Ditjen Bina Konstruksi No. 47/SE/Dk/2026 (AHSP PUPR 2026)</t>
        </is>
      </c>
      <c r="B3" s="3" t="n"/>
      <c r="C3" s="3" t="n"/>
      <c r="D3" s="3" t="n"/>
      <c r="E3" s="3" t="n"/>
      <c r="F3" s="3" t="n"/>
    </row>
    <row r="4" ht="12" customHeight="1"/>
    <row r="5">
      <c r="A5" s="4" t="inlineStr">
        <is>
          <t>📌 INFORMASI PROYEK &amp; REGULASI</t>
        </is>
      </c>
      <c r="B5" s="4" t="n"/>
      <c r="D5" s="4" t="inlineStr">
        <is>
          <t>📊 RINGKASAN ESTIMASI BIAYA (SUMMARY)</t>
        </is>
      </c>
      <c r="E5" s="4" t="n"/>
      <c r="F5" s="4" t="n"/>
    </row>
    <row r="6" ht="20" customHeight="1">
      <c r="A6" s="5" t="inlineStr">
        <is>
          <t>Nama Pekerjaan</t>
        </is>
      </c>
      <c r="B6" s="6" t="inlineStr">
        <is>
          <t>Pemeliharaan Pohon Jalan &amp; Ruang Terbuka Hijau (RTH)</t>
        </is>
      </c>
      <c r="C6" s="7" t="n"/>
      <c r="D6" s="8" t="inlineStr">
        <is>
          <t>Sub-Total Perampingan (Kelompok A)</t>
        </is>
      </c>
      <c r="E6" s="9" t="n"/>
      <c r="F6" s="10">
        <f>'RAB Rekapitulasi'!G10</f>
        <v/>
      </c>
    </row>
    <row r="7" ht="20" customHeight="1">
      <c r="A7" s="5" t="inlineStr">
        <is>
          <t>Nomor Dokumen</t>
        </is>
      </c>
      <c r="B7" s="6" t="inlineStr">
        <is>
          <t>RAB-PPH-2026-001</t>
        </is>
      </c>
      <c r="C7" s="7" t="n"/>
      <c r="D7" s="8" t="inlineStr">
        <is>
          <t>Sub-Total Pemotongan (Kelompok B)</t>
        </is>
      </c>
      <c r="E7" s="9" t="n"/>
      <c r="F7" s="10">
        <f>'RAB Rekapitulasi'!G18</f>
        <v/>
      </c>
    </row>
    <row r="8" ht="20" customHeight="1">
      <c r="A8" s="5" t="inlineStr">
        <is>
          <t>Tahun Anggaran</t>
        </is>
      </c>
      <c r="B8" s="6" t="inlineStr">
        <is>
          <t>2026</t>
        </is>
      </c>
      <c r="C8" s="7" t="n"/>
      <c r="D8" s="8" t="inlineStr">
        <is>
          <t>Total Biaya Langsung Fisik</t>
        </is>
      </c>
      <c r="E8" s="9" t="n"/>
      <c r="F8" s="10">
        <f>'RAB Rekapitulasi'!G19</f>
        <v/>
      </c>
    </row>
    <row r="9" ht="20" customHeight="1">
      <c r="A9" s="5" t="inlineStr">
        <is>
          <t>Tanggal RAB</t>
        </is>
      </c>
      <c r="B9" s="6" t="inlineStr">
        <is>
          <t>22 July 2026</t>
        </is>
      </c>
      <c r="C9" s="7" t="n"/>
      <c r="D9" s="8" t="inlineStr">
        <is>
          <t>Biaya Penerapan SMKK (2.5%)</t>
        </is>
      </c>
      <c r="E9" s="9" t="n"/>
      <c r="F9" s="10">
        <f>'RAB Rekapitulasi'!G20</f>
        <v/>
      </c>
    </row>
    <row r="10" ht="20" customHeight="1">
      <c r="A10" s="5" t="inlineStr">
        <is>
          <t>Satuan Biaya</t>
        </is>
      </c>
      <c r="B10" s="6" t="inlineStr">
        <is>
          <t>Rupiah (Rp)</t>
        </is>
      </c>
      <c r="C10" s="7" t="n"/>
      <c r="D10" s="8" t="inlineStr">
        <is>
          <t>Jumlah Fisik + SMKK</t>
        </is>
      </c>
      <c r="E10" s="9" t="n"/>
      <c r="F10" s="10">
        <f>'RAB Rekapitulasi'!G21</f>
        <v/>
      </c>
    </row>
    <row r="11" ht="20" customHeight="1">
      <c r="A11" s="5" t="inlineStr">
        <is>
          <t>Dasar Acuan</t>
        </is>
      </c>
      <c r="B11" s="6" t="inlineStr">
        <is>
          <t>SE Ditjen Bina Konstruksi No. 47/SE/Dk/2026</t>
        </is>
      </c>
      <c r="C11" s="7" t="n"/>
      <c r="D11" s="8" t="inlineStr">
        <is>
          <t>PPN (11%)</t>
        </is>
      </c>
      <c r="E11" s="9" t="n"/>
      <c r="F11" s="10">
        <f>'RAB Rekapitulasi'!G22</f>
        <v/>
      </c>
    </row>
    <row r="12" ht="20" customHeight="1">
      <c r="A12" s="5" t="inlineStr">
        <is>
          <t>Biaya SMKK (K3)</t>
        </is>
      </c>
      <c r="B12" s="6" t="inlineStr">
        <is>
          <t>2,5% dari Biaya Fisik (Permen PUPR 10/2021)</t>
        </is>
      </c>
      <c r="C12" s="7" t="n"/>
      <c r="D12" s="11" t="inlineStr">
        <is>
          <t>GRAND TOTAL RAB</t>
        </is>
      </c>
      <c r="E12" s="12" t="n"/>
      <c r="F12" s="13">
        <f>'RAB Rekapitulasi'!G23</f>
        <v/>
      </c>
    </row>
    <row r="13" ht="20" customHeight="1">
      <c r="A13" s="5" t="inlineStr">
        <is>
          <t>Pajak (PPN)</t>
        </is>
      </c>
      <c r="B13" s="6" t="inlineStr">
        <is>
          <t>11% (UU HPP No. 7/2021)</t>
        </is>
      </c>
      <c r="C13" s="7" t="n"/>
    </row>
    <row r="14" ht="20" customHeight="1">
      <c r="A14" s="5" t="inlineStr">
        <is>
          <t>Overhead &amp; Profit</t>
        </is>
      </c>
      <c r="B14" s="6" t="inlineStr">
        <is>
          <t>15% dari Biaya Langsung</t>
        </is>
      </c>
      <c r="C14" s="7" t="n"/>
    </row>
    <row r="15" ht="20" customHeight="1">
      <c r="A15" s="5" t="inlineStr">
        <is>
          <t>Standar Ukur DBH</t>
        </is>
      </c>
      <c r="B15" s="6" t="inlineStr">
        <is>
          <t>DBH = 1,30 meter dari permukaan tanah</t>
        </is>
      </c>
      <c r="C15" s="7" t="n"/>
    </row>
    <row r="18" ht="18" customHeight="1">
      <c r="A18" s="14" t="inlineStr">
        <is>
          <t>Disetujui Oleh:</t>
        </is>
      </c>
      <c r="D18" s="14" t="inlineStr">
        <is>
          <t>Dibuat Oleh:</t>
        </is>
      </c>
    </row>
    <row r="19">
      <c r="A19" s="15" t="inlineStr">
        <is>
          <t>Pejabat Pembuat Komitmen (PPK)</t>
        </is>
      </c>
      <c r="D19" s="15" t="inlineStr">
        <is>
          <t>Konsultan Perencana / Tim Teknik</t>
        </is>
      </c>
    </row>
    <row r="20" ht="18" customHeight="1"/>
    <row r="21" ht="18" customHeight="1"/>
    <row r="22" ht="18" customHeight="1"/>
    <row r="23">
      <c r="A23" s="16" t="inlineStr">
        <is>
          <t>( _______________________________ )</t>
        </is>
      </c>
      <c r="D23" s="16" t="inlineStr">
        <is>
          <t>( _______________________________ )</t>
        </is>
      </c>
    </row>
  </sheetData>
  <mergeCells count="28">
    <mergeCell ref="D10:E10"/>
    <mergeCell ref="B7:C7"/>
    <mergeCell ref="A18:C18"/>
    <mergeCell ref="A3:F3"/>
    <mergeCell ref="B12:C12"/>
    <mergeCell ref="A2:F2"/>
    <mergeCell ref="D6:E6"/>
    <mergeCell ref="B11:C11"/>
    <mergeCell ref="A23:C23"/>
    <mergeCell ref="D11:E11"/>
    <mergeCell ref="D18:F18"/>
    <mergeCell ref="B14:C14"/>
    <mergeCell ref="B8:C8"/>
    <mergeCell ref="B13:C13"/>
    <mergeCell ref="A19:C19"/>
    <mergeCell ref="D7:E7"/>
    <mergeCell ref="D5:F5"/>
    <mergeCell ref="D23:F23"/>
    <mergeCell ref="B10:C10"/>
    <mergeCell ref="A5:B5"/>
    <mergeCell ref="B9:C9"/>
    <mergeCell ref="D9:E9"/>
    <mergeCell ref="D12:E12"/>
    <mergeCell ref="D8:E8"/>
    <mergeCell ref="B6:C6"/>
    <mergeCell ref="D19:F19"/>
    <mergeCell ref="B15:C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14" customWidth="1" min="4" max="4"/>
    <col width="18" customWidth="1" min="5" max="5"/>
    <col width="20" customWidth="1" min="6" max="6"/>
  </cols>
  <sheetData>
    <row r="1" ht="34" customHeight="1">
      <c r="A1" s="1" t="inlineStr">
        <is>
          <t>ANALISIS HARGA SATUAN PEKERJAAN (AHSP) — PEMOTONGAN / PERAMPINGAN POHON</t>
        </is>
      </c>
      <c r="B1" s="1" t="n"/>
      <c r="C1" s="1" t="n"/>
      <c r="D1" s="1" t="n"/>
      <c r="E1" s="1" t="n"/>
      <c r="F1" s="1" t="n"/>
    </row>
    <row r="2" ht="22" customHeight="1">
      <c r="A2" s="2" t="inlineStr">
        <is>
          <t>Acuan: SE Ditjen BK No. 47/SE/Dk/2026  |  Overhead &amp; Profit 15%  |  Satuan per Batang Pohon</t>
        </is>
      </c>
      <c r="B2" s="2" t="n"/>
      <c r="C2" s="2" t="n"/>
      <c r="D2" s="2" t="n"/>
      <c r="E2" s="2" t="n"/>
      <c r="F2" s="2" t="n"/>
    </row>
    <row r="3" ht="28" customHeight="1">
      <c r="A3" s="17" t="inlineStr">
        <is>
          <t>No.</t>
        </is>
      </c>
      <c r="B3" s="17" t="inlineStr">
        <is>
          <t>Uraian Komponen / Pekerjaan</t>
        </is>
      </c>
      <c r="C3" s="17" t="inlineStr">
        <is>
          <t>Sat.</t>
        </is>
      </c>
      <c r="D3" s="17" t="inlineStr">
        <is>
          <t>Koefisien</t>
        </is>
      </c>
      <c r="E3" s="17" t="inlineStr">
        <is>
          <t>H. Satuan (Rp)</t>
        </is>
      </c>
      <c r="F3" s="17" t="inlineStr">
        <is>
          <t>Jumlah (Rp)</t>
        </is>
      </c>
    </row>
    <row r="4" ht="24" customHeight="1">
      <c r="A4" s="18" t="inlineStr">
        <is>
          <t>KELOMPOK A — PERAMPINGAN / PEMANGKASAN POHON (Pohon Tetap Berdiri / Hidup)</t>
        </is>
      </c>
      <c r="B4" s="18" t="n"/>
      <c r="C4" s="18" t="n"/>
      <c r="D4" s="18" t="n"/>
      <c r="E4" s="18" t="n"/>
      <c r="F4" s="18" t="n"/>
    </row>
    <row r="5" ht="22" customHeight="1">
      <c r="A5" s="19" t="inlineStr">
        <is>
          <t>A.1 · Perampingan Ø 5–15 cm (Pohon Kecil / Perdu)</t>
        </is>
      </c>
      <c r="B5" s="19" t="n"/>
      <c r="C5" s="19" t="n"/>
      <c r="D5" s="19" t="n"/>
      <c r="E5" s="19" t="n"/>
      <c r="F5" s="19" t="n"/>
    </row>
    <row r="6" ht="20" customHeight="1">
      <c r="A6" s="4" t="inlineStr">
        <is>
          <t>A. TENAGA KERJA</t>
        </is>
      </c>
      <c r="B6" s="4" t="n"/>
      <c r="C6" s="4" t="n"/>
      <c r="D6" s="4" t="n"/>
      <c r="E6" s="4" t="n"/>
      <c r="F6" s="4" t="n"/>
    </row>
    <row r="7" ht="20" customHeight="1">
      <c r="A7" s="20" t="inlineStr"/>
      <c r="B7" s="7" t="inlineStr">
        <is>
          <t>Pekerja Biasa</t>
        </is>
      </c>
      <c r="C7" s="21" t="inlineStr">
        <is>
          <t>OH</t>
        </is>
      </c>
      <c r="D7" s="22" t="n">
        <v>0.05</v>
      </c>
      <c r="E7" s="23" t="n">
        <v>120000</v>
      </c>
      <c r="F7" s="23">
        <f>D7*E7</f>
        <v/>
      </c>
    </row>
    <row r="8" ht="20" customHeight="1">
      <c r="A8" s="20" t="inlineStr"/>
      <c r="B8" s="7" t="inlineStr">
        <is>
          <t>Tukang</t>
        </is>
      </c>
      <c r="C8" s="21" t="inlineStr">
        <is>
          <t>OH</t>
        </is>
      </c>
      <c r="D8" s="22" t="n">
        <v>0.08</v>
      </c>
      <c r="E8" s="23" t="n">
        <v>160000</v>
      </c>
      <c r="F8" s="23">
        <f>D8*E8</f>
        <v/>
      </c>
    </row>
    <row r="9" ht="20" customHeight="1">
      <c r="A9" s="20" t="inlineStr"/>
      <c r="B9" s="7" t="inlineStr">
        <is>
          <t>Mandor</t>
        </is>
      </c>
      <c r="C9" s="21" t="inlineStr">
        <is>
          <t>OH</t>
        </is>
      </c>
      <c r="D9" s="22" t="n">
        <v>0.008</v>
      </c>
      <c r="E9" s="23" t="n">
        <v>185000</v>
      </c>
      <c r="F9" s="23">
        <f>D9*E9</f>
        <v/>
      </c>
    </row>
    <row r="10" ht="20" customHeight="1">
      <c r="A10" s="24" t="inlineStr"/>
      <c r="B10" s="25" t="inlineStr">
        <is>
          <t>JUMLAH A. TENAGA KERJA</t>
        </is>
      </c>
      <c r="C10" s="24" t="n"/>
      <c r="D10" s="24" t="n"/>
      <c r="E10" s="24" t="n"/>
      <c r="F10" s="26">
        <f>SUM(F7:F9)</f>
        <v/>
      </c>
    </row>
    <row r="11" ht="20" customHeight="1">
      <c r="A11" s="4" t="inlineStr">
        <is>
          <t>B. PERALATAN</t>
        </is>
      </c>
      <c r="B11" s="4" t="n"/>
      <c r="C11" s="4" t="n"/>
      <c r="D11" s="4" t="n"/>
      <c r="E11" s="4" t="n"/>
      <c r="F11" s="4" t="n"/>
    </row>
    <row r="12" ht="20" customHeight="1">
      <c r="A12" s="20" t="inlineStr"/>
      <c r="B12" s="7" t="inlineStr">
        <is>
          <t>Chainsaw Kecil</t>
        </is>
      </c>
      <c r="C12" s="21" t="inlineStr">
        <is>
          <t>Jam</t>
        </is>
      </c>
      <c r="D12" s="22" t="n">
        <v>0.3</v>
      </c>
      <c r="E12" s="23" t="n">
        <v>45000</v>
      </c>
      <c r="F12" s="23">
        <f>D12*E12</f>
        <v/>
      </c>
    </row>
    <row r="13" ht="20" customHeight="1">
      <c r="A13" s="20" t="inlineStr"/>
      <c r="B13" s="7" t="inlineStr">
        <is>
          <t>Alat Bantu</t>
        </is>
      </c>
      <c r="C13" s="21" t="inlineStr">
        <is>
          <t>LS</t>
        </is>
      </c>
      <c r="D13" s="22" t="n">
        <v>1</v>
      </c>
      <c r="E13" s="23" t="n">
        <v>750</v>
      </c>
      <c r="F13" s="23">
        <f>D13*E13</f>
        <v/>
      </c>
    </row>
    <row r="14" ht="20" customHeight="1">
      <c r="A14" s="24" t="inlineStr"/>
      <c r="B14" s="25" t="inlineStr">
        <is>
          <t>JUMLAH B. PERALATAN</t>
        </is>
      </c>
      <c r="C14" s="24" t="n"/>
      <c r="D14" s="24" t="n"/>
      <c r="E14" s="24" t="n"/>
      <c r="F14" s="26">
        <f>SUM(F12:F13)</f>
        <v/>
      </c>
    </row>
    <row r="15" ht="20" customHeight="1">
      <c r="A15" s="4" t="inlineStr">
        <is>
          <t>C. BAHAN / MATERIAL</t>
        </is>
      </c>
      <c r="B15" s="4" t="n"/>
      <c r="C15" s="4" t="n"/>
      <c r="D15" s="4" t="n"/>
      <c r="E15" s="4" t="n"/>
      <c r="F15" s="4" t="n"/>
    </row>
    <row r="16" ht="20" customHeight="1">
      <c r="A16" s="20" t="inlineStr"/>
      <c r="B16" s="7" t="inlineStr">
        <is>
          <t>Cat Luka Pohon</t>
        </is>
      </c>
      <c r="C16" s="21" t="inlineStr">
        <is>
          <t>Kaleng</t>
        </is>
      </c>
      <c r="D16" s="22" t="n">
        <v>0.02</v>
      </c>
      <c r="E16" s="23" t="n">
        <v>95000</v>
      </c>
      <c r="F16" s="23">
        <f>D16*E16</f>
        <v/>
      </c>
    </row>
    <row r="17" ht="20" customHeight="1">
      <c r="A17" s="24" t="inlineStr"/>
      <c r="B17" s="25" t="inlineStr">
        <is>
          <t>JUMLAH C. BAHAN / MATERIAL</t>
        </is>
      </c>
      <c r="C17" s="24" t="n"/>
      <c r="D17" s="24" t="n"/>
      <c r="E17" s="24" t="n"/>
      <c r="F17" s="26">
        <f>SUM(F16:F16)</f>
        <v/>
      </c>
    </row>
    <row r="18" ht="22" customHeight="1">
      <c r="A18" s="27" t="inlineStr">
        <is>
          <t>D</t>
        </is>
      </c>
      <c r="B18" s="28" t="inlineStr">
        <is>
          <t>JUMLAH BIAYA LANGSUNG  (A + B + C)</t>
        </is>
      </c>
      <c r="C18" s="29" t="n"/>
      <c r="D18" s="29" t="n"/>
      <c r="E18" s="29" t="n"/>
      <c r="F18" s="30">
        <f>F10+F14+F17</f>
        <v/>
      </c>
    </row>
    <row r="19" ht="20" customHeight="1">
      <c r="A19" s="31" t="inlineStr">
        <is>
          <t>E</t>
        </is>
      </c>
      <c r="B19" s="32" t="inlineStr">
        <is>
          <t>OVERHEAD &amp; PROFIT  (15% x D)</t>
        </is>
      </c>
      <c r="C19" s="20" t="n"/>
      <c r="D19" s="20" t="n"/>
      <c r="E19" s="20" t="n"/>
      <c r="F19" s="33">
        <f>F18*0.15</f>
        <v/>
      </c>
    </row>
    <row r="20" ht="24" customHeight="1">
      <c r="A20" s="34" t="inlineStr">
        <is>
          <t>F</t>
        </is>
      </c>
      <c r="B20" s="35" t="inlineStr">
        <is>
          <t>HARGA SATUAN PEKERJAAN  (D + E)  — per Batang</t>
        </is>
      </c>
      <c r="C20" s="36" t="n"/>
      <c r="D20" s="36" t="n"/>
      <c r="E20" s="36" t="n"/>
      <c r="F20" s="37">
        <f>F18+F19</f>
        <v/>
      </c>
    </row>
    <row r="22" ht="22" customHeight="1">
      <c r="A22" s="19" t="inlineStr">
        <is>
          <t>A.2 · Perampingan Ø 15–30 cm (Pohon Sedang Kecil)</t>
        </is>
      </c>
      <c r="B22" s="19" t="n"/>
      <c r="C22" s="19" t="n"/>
      <c r="D22" s="19" t="n"/>
      <c r="E22" s="19" t="n"/>
      <c r="F22" s="19" t="n"/>
    </row>
    <row r="23" ht="20" customHeight="1">
      <c r="A23" s="4" t="inlineStr">
        <is>
          <t>A. TENAGA KERJA</t>
        </is>
      </c>
      <c r="B23" s="4" t="n"/>
      <c r="C23" s="4" t="n"/>
      <c r="D23" s="4" t="n"/>
      <c r="E23" s="4" t="n"/>
      <c r="F23" s="4" t="n"/>
    </row>
    <row r="24" ht="20" customHeight="1">
      <c r="A24" s="20" t="inlineStr"/>
      <c r="B24" s="7" t="inlineStr">
        <is>
          <t>Pekerja Biasa</t>
        </is>
      </c>
      <c r="C24" s="21" t="inlineStr">
        <is>
          <t>OH</t>
        </is>
      </c>
      <c r="D24" s="22" t="n">
        <v>0.08</v>
      </c>
      <c r="E24" s="23" t="n">
        <v>120000</v>
      </c>
      <c r="F24" s="23">
        <f>D24*E24</f>
        <v/>
      </c>
    </row>
    <row r="25" ht="20" customHeight="1">
      <c r="A25" s="20" t="inlineStr"/>
      <c r="B25" s="7" t="inlineStr">
        <is>
          <t>Tukang</t>
        </is>
      </c>
      <c r="C25" s="21" t="inlineStr">
        <is>
          <t>OH</t>
        </is>
      </c>
      <c r="D25" s="22" t="n">
        <v>0.12</v>
      </c>
      <c r="E25" s="23" t="n">
        <v>160000</v>
      </c>
      <c r="F25" s="23">
        <f>D25*E25</f>
        <v/>
      </c>
    </row>
    <row r="26" ht="20" customHeight="1">
      <c r="A26" s="20" t="inlineStr"/>
      <c r="B26" s="7" t="inlineStr">
        <is>
          <t>Mandor</t>
        </is>
      </c>
      <c r="C26" s="21" t="inlineStr">
        <is>
          <t>OH</t>
        </is>
      </c>
      <c r="D26" s="22" t="n">
        <v>0.01</v>
      </c>
      <c r="E26" s="23" t="n">
        <v>185000</v>
      </c>
      <c r="F26" s="23">
        <f>D26*E26</f>
        <v/>
      </c>
    </row>
    <row r="27" ht="20" customHeight="1">
      <c r="A27" s="24" t="inlineStr"/>
      <c r="B27" s="25" t="inlineStr">
        <is>
          <t>JUMLAH A. TENAGA KERJA</t>
        </is>
      </c>
      <c r="C27" s="24" t="n"/>
      <c r="D27" s="24" t="n"/>
      <c r="E27" s="24" t="n"/>
      <c r="F27" s="26">
        <f>SUM(F24:F26)</f>
        <v/>
      </c>
    </row>
    <row r="28" ht="20" customHeight="1">
      <c r="A28" s="4" t="inlineStr">
        <is>
          <t>B. PERALATAN</t>
        </is>
      </c>
      <c r="B28" s="4" t="n"/>
      <c r="C28" s="4" t="n"/>
      <c r="D28" s="4" t="n"/>
      <c r="E28" s="4" t="n"/>
      <c r="F28" s="4" t="n"/>
    </row>
    <row r="29" ht="20" customHeight="1">
      <c r="A29" s="20" t="inlineStr"/>
      <c r="B29" s="7" t="inlineStr">
        <is>
          <t>Chainsaw Kecil</t>
        </is>
      </c>
      <c r="C29" s="21" t="inlineStr">
        <is>
          <t>Jam</t>
        </is>
      </c>
      <c r="D29" s="22" t="n">
        <v>0.5</v>
      </c>
      <c r="E29" s="23" t="n">
        <v>45000</v>
      </c>
      <c r="F29" s="23">
        <f>D29*E29</f>
        <v/>
      </c>
    </row>
    <row r="30" ht="20" customHeight="1">
      <c r="A30" s="20" t="inlineStr"/>
      <c r="B30" s="7" t="inlineStr">
        <is>
          <t>Alat Bantu</t>
        </is>
      </c>
      <c r="C30" s="21" t="inlineStr">
        <is>
          <t>LS</t>
        </is>
      </c>
      <c r="D30" s="22" t="n">
        <v>1</v>
      </c>
      <c r="E30" s="23" t="n">
        <v>1125</v>
      </c>
      <c r="F30" s="23">
        <f>D30*E30</f>
        <v/>
      </c>
    </row>
    <row r="31" ht="20" customHeight="1">
      <c r="A31" s="24" t="inlineStr"/>
      <c r="B31" s="25" t="inlineStr">
        <is>
          <t>JUMLAH B. PERALATAN</t>
        </is>
      </c>
      <c r="C31" s="24" t="n"/>
      <c r="D31" s="24" t="n"/>
      <c r="E31" s="24" t="n"/>
      <c r="F31" s="26">
        <f>SUM(F29:F30)</f>
        <v/>
      </c>
    </row>
    <row r="32" ht="20" customHeight="1">
      <c r="A32" s="4" t="inlineStr">
        <is>
          <t>C. BAHAN / MATERIAL</t>
        </is>
      </c>
      <c r="B32" s="4" t="n"/>
      <c r="C32" s="4" t="n"/>
      <c r="D32" s="4" t="n"/>
      <c r="E32" s="4" t="n"/>
      <c r="F32" s="4" t="n"/>
    </row>
    <row r="33" ht="20" customHeight="1">
      <c r="A33" s="20" t="inlineStr"/>
      <c r="B33" s="7" t="inlineStr">
        <is>
          <t>Cat Luka Pohon</t>
        </is>
      </c>
      <c r="C33" s="21" t="inlineStr">
        <is>
          <t>Kaleng</t>
        </is>
      </c>
      <c r="D33" s="22" t="n">
        <v>0.05</v>
      </c>
      <c r="E33" s="23" t="n">
        <v>95000</v>
      </c>
      <c r="F33" s="23">
        <f>D33*E33</f>
        <v/>
      </c>
    </row>
    <row r="34" ht="20" customHeight="1">
      <c r="A34" s="24" t="inlineStr"/>
      <c r="B34" s="25" t="inlineStr">
        <is>
          <t>JUMLAH C. BAHAN / MATERIAL</t>
        </is>
      </c>
      <c r="C34" s="24" t="n"/>
      <c r="D34" s="24" t="n"/>
      <c r="E34" s="24" t="n"/>
      <c r="F34" s="26">
        <f>SUM(F33:F33)</f>
        <v/>
      </c>
    </row>
    <row r="35" ht="22" customHeight="1">
      <c r="A35" s="27" t="inlineStr">
        <is>
          <t>D</t>
        </is>
      </c>
      <c r="B35" s="28" t="inlineStr">
        <is>
          <t>JUMLAH BIAYA LANGSUNG  (A + B + C)</t>
        </is>
      </c>
      <c r="C35" s="29" t="n"/>
      <c r="D35" s="29" t="n"/>
      <c r="E35" s="29" t="n"/>
      <c r="F35" s="30">
        <f>F27+F31+F34</f>
        <v/>
      </c>
    </row>
    <row r="36" ht="20" customHeight="1">
      <c r="A36" s="31" t="inlineStr">
        <is>
          <t>E</t>
        </is>
      </c>
      <c r="B36" s="32" t="inlineStr">
        <is>
          <t>OVERHEAD &amp; PROFIT  (15% x D)</t>
        </is>
      </c>
      <c r="C36" s="20" t="n"/>
      <c r="D36" s="20" t="n"/>
      <c r="E36" s="20" t="n"/>
      <c r="F36" s="33">
        <f>F35*0.15</f>
        <v/>
      </c>
    </row>
    <row r="37" ht="24" customHeight="1">
      <c r="A37" s="34" t="inlineStr">
        <is>
          <t>F</t>
        </is>
      </c>
      <c r="B37" s="35" t="inlineStr">
        <is>
          <t>HARGA SATUAN PEKERJAAN  (D + E)  — per Batang</t>
        </is>
      </c>
      <c r="C37" s="36" t="n"/>
      <c r="D37" s="36" t="n"/>
      <c r="E37" s="36" t="n"/>
      <c r="F37" s="37">
        <f>F35+F36</f>
        <v/>
      </c>
    </row>
    <row r="39" ht="22" customHeight="1">
      <c r="A39" s="19" t="inlineStr">
        <is>
          <t>A.3 · Perampingan Ø 30–50 cm (Pohon Sedang)</t>
        </is>
      </c>
      <c r="B39" s="19" t="n"/>
      <c r="C39" s="19" t="n"/>
      <c r="D39" s="19" t="n"/>
      <c r="E39" s="19" t="n"/>
      <c r="F39" s="19" t="n"/>
    </row>
    <row r="40" ht="20" customHeight="1">
      <c r="A40" s="4" t="inlineStr">
        <is>
          <t>A. TENAGA KERJA</t>
        </is>
      </c>
      <c r="B40" s="4" t="n"/>
      <c r="C40" s="4" t="n"/>
      <c r="D40" s="4" t="n"/>
      <c r="E40" s="4" t="n"/>
      <c r="F40" s="4" t="n"/>
    </row>
    <row r="41" ht="20" customHeight="1">
      <c r="A41" s="20" t="inlineStr"/>
      <c r="B41" s="7" t="inlineStr">
        <is>
          <t>Pekerja Biasa</t>
        </is>
      </c>
      <c r="C41" s="21" t="inlineStr">
        <is>
          <t>OH</t>
        </is>
      </c>
      <c r="D41" s="22" t="n">
        <v>0.15</v>
      </c>
      <c r="E41" s="23" t="n">
        <v>120000</v>
      </c>
      <c r="F41" s="23">
        <f>D41*E41</f>
        <v/>
      </c>
    </row>
    <row r="42" ht="20" customHeight="1">
      <c r="A42" s="20" t="inlineStr"/>
      <c r="B42" s="7" t="inlineStr">
        <is>
          <t>Tukang</t>
        </is>
      </c>
      <c r="C42" s="21" t="inlineStr">
        <is>
          <t>OH</t>
        </is>
      </c>
      <c r="D42" s="22" t="n">
        <v>0.2</v>
      </c>
      <c r="E42" s="23" t="n">
        <v>160000</v>
      </c>
      <c r="F42" s="23">
        <f>D42*E42</f>
        <v/>
      </c>
    </row>
    <row r="43" ht="20" customHeight="1">
      <c r="A43" s="20" t="inlineStr"/>
      <c r="B43" s="7" t="inlineStr">
        <is>
          <t>Mandor</t>
        </is>
      </c>
      <c r="C43" s="21" t="inlineStr">
        <is>
          <t>OH</t>
        </is>
      </c>
      <c r="D43" s="22" t="n">
        <v>0.015</v>
      </c>
      <c r="E43" s="23" t="n">
        <v>185000</v>
      </c>
      <c r="F43" s="23">
        <f>D43*E43</f>
        <v/>
      </c>
    </row>
    <row r="44" ht="20" customHeight="1">
      <c r="A44" s="24" t="inlineStr"/>
      <c r="B44" s="25" t="inlineStr">
        <is>
          <t>JUMLAH A. TENAGA KERJA</t>
        </is>
      </c>
      <c r="C44" s="24" t="n"/>
      <c r="D44" s="24" t="n"/>
      <c r="E44" s="24" t="n"/>
      <c r="F44" s="26">
        <f>SUM(F41:F43)</f>
        <v/>
      </c>
    </row>
    <row r="45" ht="20" customHeight="1">
      <c r="A45" s="4" t="inlineStr">
        <is>
          <t>B. PERALATAN</t>
        </is>
      </c>
      <c r="B45" s="4" t="n"/>
      <c r="C45" s="4" t="n"/>
      <c r="D45" s="4" t="n"/>
      <c r="E45" s="4" t="n"/>
      <c r="F45" s="4" t="n"/>
    </row>
    <row r="46" ht="20" customHeight="1">
      <c r="A46" s="20" t="inlineStr"/>
      <c r="B46" s="7" t="inlineStr">
        <is>
          <t>Chainsaw Sedang</t>
        </is>
      </c>
      <c r="C46" s="21" t="inlineStr">
        <is>
          <t>Jam</t>
        </is>
      </c>
      <c r="D46" s="22" t="n">
        <v>0.8</v>
      </c>
      <c r="E46" s="23" t="n">
        <v>65000</v>
      </c>
      <c r="F46" s="23">
        <f>D46*E46</f>
        <v/>
      </c>
    </row>
    <row r="47" ht="20" customHeight="1">
      <c r="A47" s="20" t="inlineStr"/>
      <c r="B47" s="7" t="inlineStr">
        <is>
          <t>Alat Bantu</t>
        </is>
      </c>
      <c r="C47" s="21" t="inlineStr">
        <is>
          <t>LS</t>
        </is>
      </c>
      <c r="D47" s="22" t="n">
        <v>1</v>
      </c>
      <c r="E47" s="23" t="n">
        <v>1500</v>
      </c>
      <c r="F47" s="23">
        <f>D47*E47</f>
        <v/>
      </c>
    </row>
    <row r="48" ht="20" customHeight="1">
      <c r="A48" s="24" t="inlineStr"/>
      <c r="B48" s="25" t="inlineStr">
        <is>
          <t>JUMLAH B. PERALATAN</t>
        </is>
      </c>
      <c r="C48" s="24" t="n"/>
      <c r="D48" s="24" t="n"/>
      <c r="E48" s="24" t="n"/>
      <c r="F48" s="26">
        <f>SUM(F46:F47)</f>
        <v/>
      </c>
    </row>
    <row r="49" ht="20" customHeight="1">
      <c r="A49" s="4" t="inlineStr">
        <is>
          <t>C. BAHAN / MATERIAL</t>
        </is>
      </c>
      <c r="B49" s="4" t="n"/>
      <c r="C49" s="4" t="n"/>
      <c r="D49" s="4" t="n"/>
      <c r="E49" s="4" t="n"/>
      <c r="F49" s="4" t="n"/>
    </row>
    <row r="50" ht="20" customHeight="1">
      <c r="A50" s="20" t="inlineStr"/>
      <c r="B50" s="7" t="inlineStr">
        <is>
          <t>Cat Luka Pohon</t>
        </is>
      </c>
      <c r="C50" s="21" t="inlineStr">
        <is>
          <t>Kaleng</t>
        </is>
      </c>
      <c r="D50" s="22" t="n">
        <v>0.1</v>
      </c>
      <c r="E50" s="23" t="n">
        <v>95000</v>
      </c>
      <c r="F50" s="23">
        <f>D50*E50</f>
        <v/>
      </c>
    </row>
    <row r="51" ht="20" customHeight="1">
      <c r="A51" s="24" t="inlineStr"/>
      <c r="B51" s="25" t="inlineStr">
        <is>
          <t>JUMLAH C. BAHAN / MATERIAL</t>
        </is>
      </c>
      <c r="C51" s="24" t="n"/>
      <c r="D51" s="24" t="n"/>
      <c r="E51" s="24" t="n"/>
      <c r="F51" s="26">
        <f>SUM(F50:F50)</f>
        <v/>
      </c>
    </row>
    <row r="52" ht="22" customHeight="1">
      <c r="A52" s="27" t="inlineStr">
        <is>
          <t>D</t>
        </is>
      </c>
      <c r="B52" s="28" t="inlineStr">
        <is>
          <t>JUMLAH BIAYA LANGSUNG  (A + B + C)</t>
        </is>
      </c>
      <c r="C52" s="29" t="n"/>
      <c r="D52" s="29" t="n"/>
      <c r="E52" s="29" t="n"/>
      <c r="F52" s="30">
        <f>F44+F48+F51</f>
        <v/>
      </c>
    </row>
    <row r="53" ht="20" customHeight="1">
      <c r="A53" s="31" t="inlineStr">
        <is>
          <t>E</t>
        </is>
      </c>
      <c r="B53" s="32" t="inlineStr">
        <is>
          <t>OVERHEAD &amp; PROFIT  (15% x D)</t>
        </is>
      </c>
      <c r="C53" s="20" t="n"/>
      <c r="D53" s="20" t="n"/>
      <c r="E53" s="20" t="n"/>
      <c r="F53" s="33">
        <f>F52*0.15</f>
        <v/>
      </c>
    </row>
    <row r="54" ht="24" customHeight="1">
      <c r="A54" s="34" t="inlineStr">
        <is>
          <t>F</t>
        </is>
      </c>
      <c r="B54" s="35" t="inlineStr">
        <is>
          <t>HARGA SATUAN PEKERJAAN  (D + E)  — per Batang</t>
        </is>
      </c>
      <c r="C54" s="36" t="n"/>
      <c r="D54" s="36" t="n"/>
      <c r="E54" s="36" t="n"/>
      <c r="F54" s="37">
        <f>F52+F53</f>
        <v/>
      </c>
    </row>
    <row r="56" ht="22" customHeight="1">
      <c r="A56" s="19" t="inlineStr">
        <is>
          <t>A.4 · Perampingan Ø 50–75 cm (Pohon Besar)</t>
        </is>
      </c>
      <c r="B56" s="19" t="n"/>
      <c r="C56" s="19" t="n"/>
      <c r="D56" s="19" t="n"/>
      <c r="E56" s="19" t="n"/>
      <c r="F56" s="19" t="n"/>
    </row>
    <row r="57" ht="20" customHeight="1">
      <c r="A57" s="4" t="inlineStr">
        <is>
          <t>A. TENAGA KERJA</t>
        </is>
      </c>
      <c r="B57" s="4" t="n"/>
      <c r="C57" s="4" t="n"/>
      <c r="D57" s="4" t="n"/>
      <c r="E57" s="4" t="n"/>
      <c r="F57" s="4" t="n"/>
    </row>
    <row r="58" ht="20" customHeight="1">
      <c r="A58" s="20" t="inlineStr"/>
      <c r="B58" s="7" t="inlineStr">
        <is>
          <t>Pekerja Biasa</t>
        </is>
      </c>
      <c r="C58" s="21" t="inlineStr">
        <is>
          <t>OH</t>
        </is>
      </c>
      <c r="D58" s="22" t="n">
        <v>0.25</v>
      </c>
      <c r="E58" s="23" t="n">
        <v>120000</v>
      </c>
      <c r="F58" s="23">
        <f>D58*E58</f>
        <v/>
      </c>
    </row>
    <row r="59" ht="20" customHeight="1">
      <c r="A59" s="20" t="inlineStr"/>
      <c r="B59" s="7" t="inlineStr">
        <is>
          <t>Tukang</t>
        </is>
      </c>
      <c r="C59" s="21" t="inlineStr">
        <is>
          <t>OH</t>
        </is>
      </c>
      <c r="D59" s="22" t="n">
        <v>0.35</v>
      </c>
      <c r="E59" s="23" t="n">
        <v>160000</v>
      </c>
      <c r="F59" s="23">
        <f>D59*E59</f>
        <v/>
      </c>
    </row>
    <row r="60" ht="20" customHeight="1">
      <c r="A60" s="20" t="inlineStr"/>
      <c r="B60" s="7" t="inlineStr">
        <is>
          <t>Mandor</t>
        </is>
      </c>
      <c r="C60" s="21" t="inlineStr">
        <is>
          <t>OH</t>
        </is>
      </c>
      <c r="D60" s="22" t="n">
        <v>0.02</v>
      </c>
      <c r="E60" s="23" t="n">
        <v>185000</v>
      </c>
      <c r="F60" s="23">
        <f>D60*E60</f>
        <v/>
      </c>
    </row>
    <row r="61" ht="20" customHeight="1">
      <c r="A61" s="24" t="inlineStr"/>
      <c r="B61" s="25" t="inlineStr">
        <is>
          <t>JUMLAH A. TENAGA KERJA</t>
        </is>
      </c>
      <c r="C61" s="24" t="n"/>
      <c r="D61" s="24" t="n"/>
      <c r="E61" s="24" t="n"/>
      <c r="F61" s="26">
        <f>SUM(F58:F60)</f>
        <v/>
      </c>
    </row>
    <row r="62" ht="20" customHeight="1">
      <c r="A62" s="4" t="inlineStr">
        <is>
          <t>B. PERALATAN</t>
        </is>
      </c>
      <c r="B62" s="4" t="n"/>
      <c r="C62" s="4" t="n"/>
      <c r="D62" s="4" t="n"/>
      <c r="E62" s="4" t="n"/>
      <c r="F62" s="4" t="n"/>
    </row>
    <row r="63" ht="20" customHeight="1">
      <c r="A63" s="20" t="inlineStr"/>
      <c r="B63" s="7" t="inlineStr">
        <is>
          <t>Chainsaw Sedang</t>
        </is>
      </c>
      <c r="C63" s="21" t="inlineStr">
        <is>
          <t>Jam</t>
        </is>
      </c>
      <c r="D63" s="22" t="n">
        <v>1.2</v>
      </c>
      <c r="E63" s="23" t="n">
        <v>65000</v>
      </c>
      <c r="F63" s="23">
        <f>D63*E63</f>
        <v/>
      </c>
    </row>
    <row r="64" ht="20" customHeight="1">
      <c r="A64" s="20" t="inlineStr"/>
      <c r="B64" s="7" t="inlineStr">
        <is>
          <t>Dump Truck - Angkut Limbah</t>
        </is>
      </c>
      <c r="C64" s="21" t="inlineStr">
        <is>
          <t>Jam</t>
        </is>
      </c>
      <c r="D64" s="22" t="n">
        <v>0.5</v>
      </c>
      <c r="E64" s="23" t="n">
        <v>350000</v>
      </c>
      <c r="F64" s="23">
        <f>D64*E64</f>
        <v/>
      </c>
    </row>
    <row r="65" ht="20" customHeight="1">
      <c r="A65" s="20" t="inlineStr"/>
      <c r="B65" s="7" t="inlineStr">
        <is>
          <t>Alat Bantu</t>
        </is>
      </c>
      <c r="C65" s="21" t="inlineStr">
        <is>
          <t>LS</t>
        </is>
      </c>
      <c r="D65" s="22" t="n">
        <v>1</v>
      </c>
      <c r="E65" s="23" t="n">
        <v>1875</v>
      </c>
      <c r="F65" s="23">
        <f>D65*E65</f>
        <v/>
      </c>
    </row>
    <row r="66" ht="20" customHeight="1">
      <c r="A66" s="24" t="inlineStr"/>
      <c r="B66" s="25" t="inlineStr">
        <is>
          <t>JUMLAH B. PERALATAN</t>
        </is>
      </c>
      <c r="C66" s="24" t="n"/>
      <c r="D66" s="24" t="n"/>
      <c r="E66" s="24" t="n"/>
      <c r="F66" s="26">
        <f>SUM(F63:F65)</f>
        <v/>
      </c>
    </row>
    <row r="67" ht="20" customHeight="1">
      <c r="A67" s="4" t="inlineStr">
        <is>
          <t>C. BAHAN / MATERIAL</t>
        </is>
      </c>
      <c r="B67" s="4" t="n"/>
      <c r="C67" s="4" t="n"/>
      <c r="D67" s="4" t="n"/>
      <c r="E67" s="4" t="n"/>
      <c r="F67" s="4" t="n"/>
    </row>
    <row r="68" ht="20" customHeight="1">
      <c r="A68" s="20" t="inlineStr"/>
      <c r="B68" s="7" t="inlineStr">
        <is>
          <t>Cat Luka Pohon</t>
        </is>
      </c>
      <c r="C68" s="21" t="inlineStr">
        <is>
          <t>Kaleng</t>
        </is>
      </c>
      <c r="D68" s="22" t="n">
        <v>0.15</v>
      </c>
      <c r="E68" s="23" t="n">
        <v>95000</v>
      </c>
      <c r="F68" s="23">
        <f>D68*E68</f>
        <v/>
      </c>
    </row>
    <row r="69" ht="20" customHeight="1">
      <c r="A69" s="24" t="inlineStr"/>
      <c r="B69" s="25" t="inlineStr">
        <is>
          <t>JUMLAH C. BAHAN / MATERIAL</t>
        </is>
      </c>
      <c r="C69" s="24" t="n"/>
      <c r="D69" s="24" t="n"/>
      <c r="E69" s="24" t="n"/>
      <c r="F69" s="26">
        <f>SUM(F68:F68)</f>
        <v/>
      </c>
    </row>
    <row r="70" ht="22" customHeight="1">
      <c r="A70" s="27" t="inlineStr">
        <is>
          <t>D</t>
        </is>
      </c>
      <c r="B70" s="28" t="inlineStr">
        <is>
          <t>JUMLAH BIAYA LANGSUNG  (A + B + C)</t>
        </is>
      </c>
      <c r="C70" s="29" t="n"/>
      <c r="D70" s="29" t="n"/>
      <c r="E70" s="29" t="n"/>
      <c r="F70" s="30">
        <f>F61+F66+F69</f>
        <v/>
      </c>
    </row>
    <row r="71" ht="20" customHeight="1">
      <c r="A71" s="31" t="inlineStr">
        <is>
          <t>E</t>
        </is>
      </c>
      <c r="B71" s="32" t="inlineStr">
        <is>
          <t>OVERHEAD &amp; PROFIT  (15% x D)</t>
        </is>
      </c>
      <c r="C71" s="20" t="n"/>
      <c r="D71" s="20" t="n"/>
      <c r="E71" s="20" t="n"/>
      <c r="F71" s="33">
        <f>F70*0.15</f>
        <v/>
      </c>
    </row>
    <row r="72" ht="24" customHeight="1">
      <c r="A72" s="34" t="inlineStr">
        <is>
          <t>F</t>
        </is>
      </c>
      <c r="B72" s="35" t="inlineStr">
        <is>
          <t>HARGA SATUAN PEKERJAAN  (D + E)  — per Batang</t>
        </is>
      </c>
      <c r="C72" s="36" t="n"/>
      <c r="D72" s="36" t="n"/>
      <c r="E72" s="36" t="n"/>
      <c r="F72" s="37">
        <f>F70+F71</f>
        <v/>
      </c>
    </row>
    <row r="74" ht="22" customHeight="1">
      <c r="A74" s="19" t="inlineStr">
        <is>
          <t>A.5 · Perampingan Ø &gt; 75 cm (Pohon Sangat Besar)</t>
        </is>
      </c>
      <c r="B74" s="19" t="n"/>
      <c r="C74" s="19" t="n"/>
      <c r="D74" s="19" t="n"/>
      <c r="E74" s="19" t="n"/>
      <c r="F74" s="19" t="n"/>
    </row>
    <row r="75" ht="20" customHeight="1">
      <c r="A75" s="4" t="inlineStr">
        <is>
          <t>A. TENAGA KERJA</t>
        </is>
      </c>
      <c r="B75" s="4" t="n"/>
      <c r="C75" s="4" t="n"/>
      <c r="D75" s="4" t="n"/>
      <c r="E75" s="4" t="n"/>
      <c r="F75" s="4" t="n"/>
    </row>
    <row r="76" ht="20" customHeight="1">
      <c r="A76" s="20" t="inlineStr"/>
      <c r="B76" s="7" t="inlineStr">
        <is>
          <t>Pekerja Biasa</t>
        </is>
      </c>
      <c r="C76" s="21" t="inlineStr">
        <is>
          <t>OH</t>
        </is>
      </c>
      <c r="D76" s="22" t="n">
        <v>0.35</v>
      </c>
      <c r="E76" s="23" t="n">
        <v>120000</v>
      </c>
      <c r="F76" s="23">
        <f>D76*E76</f>
        <v/>
      </c>
    </row>
    <row r="77" ht="20" customHeight="1">
      <c r="A77" s="20" t="inlineStr"/>
      <c r="B77" s="7" t="inlineStr">
        <is>
          <t>Tukang</t>
        </is>
      </c>
      <c r="C77" s="21" t="inlineStr">
        <is>
          <t>OH</t>
        </is>
      </c>
      <c r="D77" s="22" t="n">
        <v>0.5</v>
      </c>
      <c r="E77" s="23" t="n">
        <v>160000</v>
      </c>
      <c r="F77" s="23">
        <f>D77*E77</f>
        <v/>
      </c>
    </row>
    <row r="78" ht="20" customHeight="1">
      <c r="A78" s="20" t="inlineStr"/>
      <c r="B78" s="7" t="inlineStr">
        <is>
          <t>Mandor</t>
        </is>
      </c>
      <c r="C78" s="21" t="inlineStr">
        <is>
          <t>OH</t>
        </is>
      </c>
      <c r="D78" s="22" t="n">
        <v>0.03</v>
      </c>
      <c r="E78" s="23" t="n">
        <v>185000</v>
      </c>
      <c r="F78" s="23">
        <f>D78*E78</f>
        <v/>
      </c>
    </row>
    <row r="79" ht="20" customHeight="1">
      <c r="A79" s="24" t="inlineStr"/>
      <c r="B79" s="25" t="inlineStr">
        <is>
          <t>JUMLAH A. TENAGA KERJA</t>
        </is>
      </c>
      <c r="C79" s="24" t="n"/>
      <c r="D79" s="24" t="n"/>
      <c r="E79" s="24" t="n"/>
      <c r="F79" s="26">
        <f>SUM(F76:F78)</f>
        <v/>
      </c>
    </row>
    <row r="80" ht="20" customHeight="1">
      <c r="A80" s="4" t="inlineStr">
        <is>
          <t>B. PERALATAN</t>
        </is>
      </c>
      <c r="B80" s="4" t="n"/>
      <c r="C80" s="4" t="n"/>
      <c r="D80" s="4" t="n"/>
      <c r="E80" s="4" t="n"/>
      <c r="F80" s="4" t="n"/>
    </row>
    <row r="81" ht="20" customHeight="1">
      <c r="A81" s="20" t="inlineStr"/>
      <c r="B81" s="7" t="inlineStr">
        <is>
          <t>Chainsaw Besar</t>
        </is>
      </c>
      <c r="C81" s="21" t="inlineStr">
        <is>
          <t>Jam</t>
        </is>
      </c>
      <c r="D81" s="22" t="n">
        <v>1.8</v>
      </c>
      <c r="E81" s="23" t="n">
        <v>90000</v>
      </c>
      <c r="F81" s="23">
        <f>D81*E81</f>
        <v/>
      </c>
    </row>
    <row r="82" ht="20" customHeight="1">
      <c r="A82" s="20" t="inlineStr"/>
      <c r="B82" s="7" t="inlineStr">
        <is>
          <t>Dump Truck - Angkut Limbah</t>
        </is>
      </c>
      <c r="C82" s="21" t="inlineStr">
        <is>
          <t>Jam</t>
        </is>
      </c>
      <c r="D82" s="22" t="n">
        <v>1.2</v>
      </c>
      <c r="E82" s="23" t="n">
        <v>350000</v>
      </c>
      <c r="F82" s="23">
        <f>D82*E82</f>
        <v/>
      </c>
    </row>
    <row r="83" ht="20" customHeight="1">
      <c r="A83" s="20" t="inlineStr"/>
      <c r="B83" s="7" t="inlineStr">
        <is>
          <t>Alat Bantu</t>
        </is>
      </c>
      <c r="C83" s="21" t="inlineStr">
        <is>
          <t>LS</t>
        </is>
      </c>
      <c r="D83" s="22" t="n">
        <v>1</v>
      </c>
      <c r="E83" s="23" t="n">
        <v>2625</v>
      </c>
      <c r="F83" s="23">
        <f>D83*E83</f>
        <v/>
      </c>
    </row>
    <row r="84" ht="20" customHeight="1">
      <c r="A84" s="24" t="inlineStr"/>
      <c r="B84" s="25" t="inlineStr">
        <is>
          <t>JUMLAH B. PERALATAN</t>
        </is>
      </c>
      <c r="C84" s="24" t="n"/>
      <c r="D84" s="24" t="n"/>
      <c r="E84" s="24" t="n"/>
      <c r="F84" s="26">
        <f>SUM(F81:F83)</f>
        <v/>
      </c>
    </row>
    <row r="85" ht="20" customHeight="1">
      <c r="A85" s="4" t="inlineStr">
        <is>
          <t>C. BAHAN / MATERIAL</t>
        </is>
      </c>
      <c r="B85" s="4" t="n"/>
      <c r="C85" s="4" t="n"/>
      <c r="D85" s="4" t="n"/>
      <c r="E85" s="4" t="n"/>
      <c r="F85" s="4" t="n"/>
    </row>
    <row r="86" ht="20" customHeight="1">
      <c r="A86" s="20" t="inlineStr"/>
      <c r="B86" s="7" t="inlineStr">
        <is>
          <t>Cat Luka Pohon</t>
        </is>
      </c>
      <c r="C86" s="21" t="inlineStr">
        <is>
          <t>Kaleng</t>
        </is>
      </c>
      <c r="D86" s="22" t="n">
        <v>0.2</v>
      </c>
      <c r="E86" s="23" t="n">
        <v>95000</v>
      </c>
      <c r="F86" s="23">
        <f>D86*E86</f>
        <v/>
      </c>
    </row>
    <row r="87" ht="20" customHeight="1">
      <c r="A87" s="24" t="inlineStr"/>
      <c r="B87" s="25" t="inlineStr">
        <is>
          <t>JUMLAH C. BAHAN / MATERIAL</t>
        </is>
      </c>
      <c r="C87" s="24" t="n"/>
      <c r="D87" s="24" t="n"/>
      <c r="E87" s="24" t="n"/>
      <c r="F87" s="26">
        <f>SUM(F86:F86)</f>
        <v/>
      </c>
    </row>
    <row r="88" ht="22" customHeight="1">
      <c r="A88" s="27" t="inlineStr">
        <is>
          <t>D</t>
        </is>
      </c>
      <c r="B88" s="28" t="inlineStr">
        <is>
          <t>JUMLAH BIAYA LANGSUNG  (A + B + C)</t>
        </is>
      </c>
      <c r="C88" s="29" t="n"/>
      <c r="D88" s="29" t="n"/>
      <c r="E88" s="29" t="n"/>
      <c r="F88" s="30">
        <f>F79+F84+F87</f>
        <v/>
      </c>
    </row>
    <row r="89" ht="20" customHeight="1">
      <c r="A89" s="31" t="inlineStr">
        <is>
          <t>E</t>
        </is>
      </c>
      <c r="B89" s="32" t="inlineStr">
        <is>
          <t>OVERHEAD &amp; PROFIT  (15% x D)</t>
        </is>
      </c>
      <c r="C89" s="20" t="n"/>
      <c r="D89" s="20" t="n"/>
      <c r="E89" s="20" t="n"/>
      <c r="F89" s="33">
        <f>F88*0.15</f>
        <v/>
      </c>
    </row>
    <row r="90" ht="24" customHeight="1">
      <c r="A90" s="34" t="inlineStr">
        <is>
          <t>F</t>
        </is>
      </c>
      <c r="B90" s="35" t="inlineStr">
        <is>
          <t>HARGA SATUAN PEKERJAAN  (D + E)  — per Batang</t>
        </is>
      </c>
      <c r="C90" s="36" t="n"/>
      <c r="D90" s="36" t="n"/>
      <c r="E90" s="36" t="n"/>
      <c r="F90" s="37">
        <f>F88+F89</f>
        <v/>
      </c>
    </row>
    <row r="92" ht="24" customHeight="1">
      <c r="A92" s="18" t="inlineStr">
        <is>
          <t>KELOMPOK B — PEMOTONGAN / PENEBANGAN POHON (Ditebang Habis + Angkut Limbah)</t>
        </is>
      </c>
      <c r="B92" s="18" t="n"/>
      <c r="C92" s="18" t="n"/>
      <c r="D92" s="18" t="n"/>
      <c r="E92" s="18" t="n"/>
      <c r="F92" s="18" t="n"/>
    </row>
    <row r="93" ht="22" customHeight="1">
      <c r="A93" s="19" t="inlineStr">
        <is>
          <t>B.1 · Pemotongan Ø &lt; 15 cm (Pohon Kecil / Perdu)</t>
        </is>
      </c>
      <c r="B93" s="19" t="n"/>
      <c r="C93" s="19" t="n"/>
      <c r="D93" s="19" t="n"/>
      <c r="E93" s="19" t="n"/>
      <c r="F93" s="19" t="n"/>
    </row>
    <row r="94" ht="20" customHeight="1">
      <c r="A94" s="4" t="inlineStr">
        <is>
          <t>A. TENAGA KERJA</t>
        </is>
      </c>
      <c r="B94" s="4" t="n"/>
      <c r="C94" s="4" t="n"/>
      <c r="D94" s="4" t="n"/>
      <c r="E94" s="4" t="n"/>
      <c r="F94" s="4" t="n"/>
    </row>
    <row r="95" ht="20" customHeight="1">
      <c r="A95" s="20" t="inlineStr"/>
      <c r="B95" s="7" t="inlineStr">
        <is>
          <t>Pekerja Biasa</t>
        </is>
      </c>
      <c r="C95" s="21" t="inlineStr">
        <is>
          <t>OH</t>
        </is>
      </c>
      <c r="D95" s="22" t="n">
        <v>0.06</v>
      </c>
      <c r="E95" s="23" t="n">
        <v>120000</v>
      </c>
      <c r="F95" s="23">
        <f>D95*E95</f>
        <v/>
      </c>
    </row>
    <row r="96" ht="20" customHeight="1">
      <c r="A96" s="20" t="inlineStr"/>
      <c r="B96" s="7" t="inlineStr">
        <is>
          <t>Tukang</t>
        </is>
      </c>
      <c r="C96" s="21" t="inlineStr">
        <is>
          <t>OH</t>
        </is>
      </c>
      <c r="D96" s="22" t="n">
        <v>0.08</v>
      </c>
      <c r="E96" s="23" t="n">
        <v>160000</v>
      </c>
      <c r="F96" s="23">
        <f>D96*E96</f>
        <v/>
      </c>
    </row>
    <row r="97" ht="20" customHeight="1">
      <c r="A97" s="20" t="inlineStr"/>
      <c r="B97" s="7" t="inlineStr">
        <is>
          <t>Mandor</t>
        </is>
      </c>
      <c r="C97" s="21" t="inlineStr">
        <is>
          <t>OH</t>
        </is>
      </c>
      <c r="D97" s="22" t="n">
        <v>0.008</v>
      </c>
      <c r="E97" s="23" t="n">
        <v>185000</v>
      </c>
      <c r="F97" s="23">
        <f>D97*E97</f>
        <v/>
      </c>
    </row>
    <row r="98" ht="20" customHeight="1">
      <c r="A98" s="24" t="inlineStr"/>
      <c r="B98" s="25" t="inlineStr">
        <is>
          <t>JUMLAH A. TENAGA KERJA</t>
        </is>
      </c>
      <c r="C98" s="24" t="n"/>
      <c r="D98" s="24" t="n"/>
      <c r="E98" s="24" t="n"/>
      <c r="F98" s="26">
        <f>SUM(F95:F97)</f>
        <v/>
      </c>
    </row>
    <row r="99" ht="20" customHeight="1">
      <c r="A99" s="4" t="inlineStr">
        <is>
          <t>B. PERALATAN</t>
        </is>
      </c>
      <c r="B99" s="4" t="n"/>
      <c r="C99" s="4" t="n"/>
      <c r="D99" s="4" t="n"/>
      <c r="E99" s="4" t="n"/>
      <c r="F99" s="4" t="n"/>
    </row>
    <row r="100" ht="20" customHeight="1">
      <c r="A100" s="20" t="inlineStr"/>
      <c r="B100" s="7" t="inlineStr">
        <is>
          <t>Chainsaw Kecil</t>
        </is>
      </c>
      <c r="C100" s="21" t="inlineStr">
        <is>
          <t>Jam</t>
        </is>
      </c>
      <c r="D100" s="22" t="n">
        <v>0.2</v>
      </c>
      <c r="E100" s="23" t="n">
        <v>45000</v>
      </c>
      <c r="F100" s="23">
        <f>D100*E100</f>
        <v/>
      </c>
    </row>
    <row r="101" ht="20" customHeight="1">
      <c r="A101" s="20" t="inlineStr"/>
      <c r="B101" s="7" t="inlineStr">
        <is>
          <t>Alat Bantu</t>
        </is>
      </c>
      <c r="C101" s="21" t="inlineStr">
        <is>
          <t>LS</t>
        </is>
      </c>
      <c r="D101" s="22" t="n">
        <v>1</v>
      </c>
      <c r="E101" s="23" t="n">
        <v>750</v>
      </c>
      <c r="F101" s="23">
        <f>D101*E101</f>
        <v/>
      </c>
    </row>
    <row r="102" ht="20" customHeight="1">
      <c r="A102" s="24" t="inlineStr"/>
      <c r="B102" s="25" t="inlineStr">
        <is>
          <t>JUMLAH B. PERALATAN</t>
        </is>
      </c>
      <c r="C102" s="24" t="n"/>
      <c r="D102" s="24" t="n"/>
      <c r="E102" s="24" t="n"/>
      <c r="F102" s="26">
        <f>SUM(F100:F101)</f>
        <v/>
      </c>
    </row>
    <row r="103" ht="20" customHeight="1">
      <c r="A103" s="4" t="inlineStr">
        <is>
          <t>C. BAHAN / MATERIAL</t>
        </is>
      </c>
      <c r="B103" s="4" t="n"/>
      <c r="C103" s="4" t="n"/>
      <c r="D103" s="4" t="n"/>
      <c r="E103" s="4" t="n"/>
      <c r="F103" s="4" t="n"/>
    </row>
    <row r="104" ht="20" customHeight="1">
      <c r="A104" s="24" t="inlineStr"/>
      <c r="B104" s="25" t="inlineStr">
        <is>
          <t>JUMLAH C. BAHAN / MATERIAL</t>
        </is>
      </c>
      <c r="C104" s="24" t="n"/>
      <c r="D104" s="24" t="n"/>
      <c r="E104" s="24" t="n"/>
      <c r="F104" s="26" t="n">
        <v>0</v>
      </c>
    </row>
    <row r="105" ht="22" customHeight="1">
      <c r="A105" s="27" t="inlineStr">
        <is>
          <t>D</t>
        </is>
      </c>
      <c r="B105" s="28" t="inlineStr">
        <is>
          <t>JUMLAH BIAYA LANGSUNG  (A + B + C)</t>
        </is>
      </c>
      <c r="C105" s="29" t="n"/>
      <c r="D105" s="29" t="n"/>
      <c r="E105" s="29" t="n"/>
      <c r="F105" s="30">
        <f>F98+F102+F104</f>
        <v/>
      </c>
    </row>
    <row r="106" ht="20" customHeight="1">
      <c r="A106" s="31" t="inlineStr">
        <is>
          <t>E</t>
        </is>
      </c>
      <c r="B106" s="32" t="inlineStr">
        <is>
          <t>OVERHEAD &amp; PROFIT  (15% x D)</t>
        </is>
      </c>
      <c r="C106" s="20" t="n"/>
      <c r="D106" s="20" t="n"/>
      <c r="E106" s="20" t="n"/>
      <c r="F106" s="33">
        <f>F105*0.15</f>
        <v/>
      </c>
    </row>
    <row r="107" ht="24" customHeight="1">
      <c r="A107" s="34" t="inlineStr">
        <is>
          <t>F</t>
        </is>
      </c>
      <c r="B107" s="35" t="inlineStr">
        <is>
          <t>HARGA SATUAN PEKERJAAN  (D + E)  — per Batang</t>
        </is>
      </c>
      <c r="C107" s="36" t="n"/>
      <c r="D107" s="36" t="n"/>
      <c r="E107" s="36" t="n"/>
      <c r="F107" s="37">
        <f>F105+F106</f>
        <v/>
      </c>
    </row>
    <row r="109" ht="22" customHeight="1">
      <c r="A109" s="19" t="inlineStr">
        <is>
          <t>B.2 · Pemotongan Ø 15–30 cm (Pohon Sedang Kecil)</t>
        </is>
      </c>
      <c r="B109" s="19" t="n"/>
      <c r="C109" s="19" t="n"/>
      <c r="D109" s="19" t="n"/>
      <c r="E109" s="19" t="n"/>
      <c r="F109" s="19" t="n"/>
    </row>
    <row r="110" ht="20" customHeight="1">
      <c r="A110" s="4" t="inlineStr">
        <is>
          <t>A. TENAGA KERJA</t>
        </is>
      </c>
      <c r="B110" s="4" t="n"/>
      <c r="C110" s="4" t="n"/>
      <c r="D110" s="4" t="n"/>
      <c r="E110" s="4" t="n"/>
      <c r="F110" s="4" t="n"/>
    </row>
    <row r="111" ht="20" customHeight="1">
      <c r="A111" s="20" t="inlineStr"/>
      <c r="B111" s="7" t="inlineStr">
        <is>
          <t>Pekerja Biasa</t>
        </is>
      </c>
      <c r="C111" s="21" t="inlineStr">
        <is>
          <t>OH</t>
        </is>
      </c>
      <c r="D111" s="22" t="n">
        <v>0.09</v>
      </c>
      <c r="E111" s="23" t="n">
        <v>120000</v>
      </c>
      <c r="F111" s="23">
        <f>D111*E111</f>
        <v/>
      </c>
    </row>
    <row r="112" ht="20" customHeight="1">
      <c r="A112" s="20" t="inlineStr"/>
      <c r="B112" s="7" t="inlineStr">
        <is>
          <t>Tukang</t>
        </is>
      </c>
      <c r="C112" s="21" t="inlineStr">
        <is>
          <t>OH</t>
        </is>
      </c>
      <c r="D112" s="22" t="n">
        <v>0.12</v>
      </c>
      <c r="E112" s="23" t="n">
        <v>160000</v>
      </c>
      <c r="F112" s="23">
        <f>D112*E112</f>
        <v/>
      </c>
    </row>
    <row r="113" ht="20" customHeight="1">
      <c r="A113" s="20" t="inlineStr"/>
      <c r="B113" s="7" t="inlineStr">
        <is>
          <t>Mandor</t>
        </is>
      </c>
      <c r="C113" s="21" t="inlineStr">
        <is>
          <t>OH</t>
        </is>
      </c>
      <c r="D113" s="22" t="n">
        <v>0.01</v>
      </c>
      <c r="E113" s="23" t="n">
        <v>185000</v>
      </c>
      <c r="F113" s="23">
        <f>D113*E113</f>
        <v/>
      </c>
    </row>
    <row r="114" ht="20" customHeight="1">
      <c r="A114" s="24" t="inlineStr"/>
      <c r="B114" s="25" t="inlineStr">
        <is>
          <t>JUMLAH A. TENAGA KERJA</t>
        </is>
      </c>
      <c r="C114" s="24" t="n"/>
      <c r="D114" s="24" t="n"/>
      <c r="E114" s="24" t="n"/>
      <c r="F114" s="26">
        <f>SUM(F111:F113)</f>
        <v/>
      </c>
    </row>
    <row r="115" ht="20" customHeight="1">
      <c r="A115" s="4" t="inlineStr">
        <is>
          <t>B. PERALATAN</t>
        </is>
      </c>
      <c r="B115" s="4" t="n"/>
      <c r="C115" s="4" t="n"/>
      <c r="D115" s="4" t="n"/>
      <c r="E115" s="4" t="n"/>
      <c r="F115" s="4" t="n"/>
    </row>
    <row r="116" ht="20" customHeight="1">
      <c r="A116" s="20" t="inlineStr"/>
      <c r="B116" s="7" t="inlineStr">
        <is>
          <t>Chainsaw Kecil</t>
        </is>
      </c>
      <c r="C116" s="21" t="inlineStr">
        <is>
          <t>Jam</t>
        </is>
      </c>
      <c r="D116" s="22" t="n">
        <v>0.5</v>
      </c>
      <c r="E116" s="23" t="n">
        <v>45000</v>
      </c>
      <c r="F116" s="23">
        <f>D116*E116</f>
        <v/>
      </c>
    </row>
    <row r="117" ht="20" customHeight="1">
      <c r="A117" s="20" t="inlineStr"/>
      <c r="B117" s="7" t="inlineStr">
        <is>
          <t>Alat Bantu</t>
        </is>
      </c>
      <c r="C117" s="21" t="inlineStr">
        <is>
          <t>LS</t>
        </is>
      </c>
      <c r="D117" s="22" t="n">
        <v>1</v>
      </c>
      <c r="E117" s="23" t="n">
        <v>1125</v>
      </c>
      <c r="F117" s="23">
        <f>D117*E117</f>
        <v/>
      </c>
    </row>
    <row r="118" ht="20" customHeight="1">
      <c r="A118" s="24" t="inlineStr"/>
      <c r="B118" s="25" t="inlineStr">
        <is>
          <t>JUMLAH B. PERALATAN</t>
        </is>
      </c>
      <c r="C118" s="24" t="n"/>
      <c r="D118" s="24" t="n"/>
      <c r="E118" s="24" t="n"/>
      <c r="F118" s="26">
        <f>SUM(F116:F117)</f>
        <v/>
      </c>
    </row>
    <row r="119" ht="20" customHeight="1">
      <c r="A119" s="4" t="inlineStr">
        <is>
          <t>C. BAHAN / MATERIAL</t>
        </is>
      </c>
      <c r="B119" s="4" t="n"/>
      <c r="C119" s="4" t="n"/>
      <c r="D119" s="4" t="n"/>
      <c r="E119" s="4" t="n"/>
      <c r="F119" s="4" t="n"/>
    </row>
    <row r="120" ht="20" customHeight="1">
      <c r="A120" s="24" t="inlineStr"/>
      <c r="B120" s="25" t="inlineStr">
        <is>
          <t>JUMLAH C. BAHAN / MATERIAL</t>
        </is>
      </c>
      <c r="C120" s="24" t="n"/>
      <c r="D120" s="24" t="n"/>
      <c r="E120" s="24" t="n"/>
      <c r="F120" s="26" t="n">
        <v>0</v>
      </c>
    </row>
    <row r="121" ht="22" customHeight="1">
      <c r="A121" s="27" t="inlineStr">
        <is>
          <t>D</t>
        </is>
      </c>
      <c r="B121" s="28" t="inlineStr">
        <is>
          <t>JUMLAH BIAYA LANGSUNG  (A + B + C)</t>
        </is>
      </c>
      <c r="C121" s="29" t="n"/>
      <c r="D121" s="29" t="n"/>
      <c r="E121" s="29" t="n"/>
      <c r="F121" s="30">
        <f>F114+F118+F120</f>
        <v/>
      </c>
    </row>
    <row r="122" ht="20" customHeight="1">
      <c r="A122" s="31" t="inlineStr">
        <is>
          <t>E</t>
        </is>
      </c>
      <c r="B122" s="32" t="inlineStr">
        <is>
          <t>OVERHEAD &amp; PROFIT  (15% x D)</t>
        </is>
      </c>
      <c r="C122" s="20" t="n"/>
      <c r="D122" s="20" t="n"/>
      <c r="E122" s="20" t="n"/>
      <c r="F122" s="33">
        <f>F121*0.15</f>
        <v/>
      </c>
    </row>
    <row r="123" ht="24" customHeight="1">
      <c r="A123" s="34" t="inlineStr">
        <is>
          <t>F</t>
        </is>
      </c>
      <c r="B123" s="35" t="inlineStr">
        <is>
          <t>HARGA SATUAN PEKERJAAN  (D + E)  — per Batang</t>
        </is>
      </c>
      <c r="C123" s="36" t="n"/>
      <c r="D123" s="36" t="n"/>
      <c r="E123" s="36" t="n"/>
      <c r="F123" s="37">
        <f>F121+F122</f>
        <v/>
      </c>
    </row>
    <row r="125" ht="22" customHeight="1">
      <c r="A125" s="19" t="inlineStr">
        <is>
          <t>B.3 · Pemotongan Ø 30–50 cm (Pohon Sedang)</t>
        </is>
      </c>
      <c r="B125" s="19" t="n"/>
      <c r="C125" s="19" t="n"/>
      <c r="D125" s="19" t="n"/>
      <c r="E125" s="19" t="n"/>
      <c r="F125" s="19" t="n"/>
    </row>
    <row r="126" ht="20" customHeight="1">
      <c r="A126" s="4" t="inlineStr">
        <is>
          <t>A. TENAGA KERJA</t>
        </is>
      </c>
      <c r="B126" s="4" t="n"/>
      <c r="C126" s="4" t="n"/>
      <c r="D126" s="4" t="n"/>
      <c r="E126" s="4" t="n"/>
      <c r="F126" s="4" t="n"/>
    </row>
    <row r="127" ht="20" customHeight="1">
      <c r="A127" s="20" t="inlineStr"/>
      <c r="B127" s="7" t="inlineStr">
        <is>
          <t>Pekerja Biasa</t>
        </is>
      </c>
      <c r="C127" s="21" t="inlineStr">
        <is>
          <t>OH</t>
        </is>
      </c>
      <c r="D127" s="22" t="n">
        <v>0.15</v>
      </c>
      <c r="E127" s="23" t="n">
        <v>120000</v>
      </c>
      <c r="F127" s="23">
        <f>D127*E127</f>
        <v/>
      </c>
    </row>
    <row r="128" ht="20" customHeight="1">
      <c r="A128" s="20" t="inlineStr"/>
      <c r="B128" s="7" t="inlineStr">
        <is>
          <t>Tukang</t>
        </is>
      </c>
      <c r="C128" s="21" t="inlineStr">
        <is>
          <t>OH</t>
        </is>
      </c>
      <c r="D128" s="22" t="n">
        <v>0.2</v>
      </c>
      <c r="E128" s="23" t="n">
        <v>160000</v>
      </c>
      <c r="F128" s="23">
        <f>D128*E128</f>
        <v/>
      </c>
    </row>
    <row r="129" ht="20" customHeight="1">
      <c r="A129" s="20" t="inlineStr"/>
      <c r="B129" s="7" t="inlineStr">
        <is>
          <t>Mandor</t>
        </is>
      </c>
      <c r="C129" s="21" t="inlineStr">
        <is>
          <t>OH</t>
        </is>
      </c>
      <c r="D129" s="22" t="n">
        <v>0.015</v>
      </c>
      <c r="E129" s="23" t="n">
        <v>185000</v>
      </c>
      <c r="F129" s="23">
        <f>D129*E129</f>
        <v/>
      </c>
    </row>
    <row r="130" ht="20" customHeight="1">
      <c r="A130" s="24" t="inlineStr"/>
      <c r="B130" s="25" t="inlineStr">
        <is>
          <t>JUMLAH A. TENAGA KERJA</t>
        </is>
      </c>
      <c r="C130" s="24" t="n"/>
      <c r="D130" s="24" t="n"/>
      <c r="E130" s="24" t="n"/>
      <c r="F130" s="26">
        <f>SUM(F127:F129)</f>
        <v/>
      </c>
    </row>
    <row r="131" ht="20" customHeight="1">
      <c r="A131" s="4" t="inlineStr">
        <is>
          <t>B. PERALATAN</t>
        </is>
      </c>
      <c r="B131" s="4" t="n"/>
      <c r="C131" s="4" t="n"/>
      <c r="D131" s="4" t="n"/>
      <c r="E131" s="4" t="n"/>
      <c r="F131" s="4" t="n"/>
    </row>
    <row r="132" ht="20" customHeight="1">
      <c r="A132" s="20" t="inlineStr"/>
      <c r="B132" s="7" t="inlineStr">
        <is>
          <t>Chainsaw Sedang</t>
        </is>
      </c>
      <c r="C132" s="21" t="inlineStr">
        <is>
          <t>Jam</t>
        </is>
      </c>
      <c r="D132" s="22" t="n">
        <v>0.8</v>
      </c>
      <c r="E132" s="23" t="n">
        <v>65000</v>
      </c>
      <c r="F132" s="23">
        <f>D132*E132</f>
        <v/>
      </c>
    </row>
    <row r="133" ht="20" customHeight="1">
      <c r="A133" s="20" t="inlineStr"/>
      <c r="B133" s="7" t="inlineStr">
        <is>
          <t>Dump Truck - Angkut Limbah</t>
        </is>
      </c>
      <c r="C133" s="21" t="inlineStr">
        <is>
          <t>Jam</t>
        </is>
      </c>
      <c r="D133" s="22" t="n">
        <v>0.3</v>
      </c>
      <c r="E133" s="23" t="n">
        <v>350000</v>
      </c>
      <c r="F133" s="23">
        <f>D133*E133</f>
        <v/>
      </c>
    </row>
    <row r="134" ht="20" customHeight="1">
      <c r="A134" s="20" t="inlineStr"/>
      <c r="B134" s="7" t="inlineStr">
        <is>
          <t>Alat Bantu</t>
        </is>
      </c>
      <c r="C134" s="21" t="inlineStr">
        <is>
          <t>LS</t>
        </is>
      </c>
      <c r="D134" s="22" t="n">
        <v>1</v>
      </c>
      <c r="E134" s="23" t="n">
        <v>1500</v>
      </c>
      <c r="F134" s="23">
        <f>D134*E134</f>
        <v/>
      </c>
    </row>
    <row r="135" ht="20" customHeight="1">
      <c r="A135" s="24" t="inlineStr"/>
      <c r="B135" s="25" t="inlineStr">
        <is>
          <t>JUMLAH B. PERALATAN</t>
        </is>
      </c>
      <c r="C135" s="24" t="n"/>
      <c r="D135" s="24" t="n"/>
      <c r="E135" s="24" t="n"/>
      <c r="F135" s="26">
        <f>SUM(F132:F134)</f>
        <v/>
      </c>
    </row>
    <row r="136" ht="20" customHeight="1">
      <c r="A136" s="4" t="inlineStr">
        <is>
          <t>C. BAHAN / MATERIAL</t>
        </is>
      </c>
      <c r="B136" s="4" t="n"/>
      <c r="C136" s="4" t="n"/>
      <c r="D136" s="4" t="n"/>
      <c r="E136" s="4" t="n"/>
      <c r="F136" s="4" t="n"/>
    </row>
    <row r="137" ht="20" customHeight="1">
      <c r="A137" s="24" t="inlineStr"/>
      <c r="B137" s="25" t="inlineStr">
        <is>
          <t>JUMLAH C. BAHAN / MATERIAL</t>
        </is>
      </c>
      <c r="C137" s="24" t="n"/>
      <c r="D137" s="24" t="n"/>
      <c r="E137" s="24" t="n"/>
      <c r="F137" s="26" t="n">
        <v>0</v>
      </c>
    </row>
    <row r="138" ht="22" customHeight="1">
      <c r="A138" s="27" t="inlineStr">
        <is>
          <t>D</t>
        </is>
      </c>
      <c r="B138" s="28" t="inlineStr">
        <is>
          <t>JUMLAH BIAYA LANGSUNG  (A + B + C)</t>
        </is>
      </c>
      <c r="C138" s="29" t="n"/>
      <c r="D138" s="29" t="n"/>
      <c r="E138" s="29" t="n"/>
      <c r="F138" s="30">
        <f>F130+F135+F137</f>
        <v/>
      </c>
    </row>
    <row r="139" ht="20" customHeight="1">
      <c r="A139" s="31" t="inlineStr">
        <is>
          <t>E</t>
        </is>
      </c>
      <c r="B139" s="32" t="inlineStr">
        <is>
          <t>OVERHEAD &amp; PROFIT  (15% x D)</t>
        </is>
      </c>
      <c r="C139" s="20" t="n"/>
      <c r="D139" s="20" t="n"/>
      <c r="E139" s="20" t="n"/>
      <c r="F139" s="33">
        <f>F138*0.15</f>
        <v/>
      </c>
    </row>
    <row r="140" ht="24" customHeight="1">
      <c r="A140" s="34" t="inlineStr">
        <is>
          <t>F</t>
        </is>
      </c>
      <c r="B140" s="35" t="inlineStr">
        <is>
          <t>HARGA SATUAN PEKERJAAN  (D + E)  — per Batang</t>
        </is>
      </c>
      <c r="C140" s="36" t="n"/>
      <c r="D140" s="36" t="n"/>
      <c r="E140" s="36" t="n"/>
      <c r="F140" s="37">
        <f>F138+F139</f>
        <v/>
      </c>
    </row>
    <row r="142" ht="22" customHeight="1">
      <c r="A142" s="19" t="inlineStr">
        <is>
          <t>B.4 · Pemotongan Ø 50–75 cm (Pohon Besar)</t>
        </is>
      </c>
      <c r="B142" s="19" t="n"/>
      <c r="C142" s="19" t="n"/>
      <c r="D142" s="19" t="n"/>
      <c r="E142" s="19" t="n"/>
      <c r="F142" s="19" t="n"/>
    </row>
    <row r="143" ht="20" customHeight="1">
      <c r="A143" s="4" t="inlineStr">
        <is>
          <t>A. TENAGA KERJA</t>
        </is>
      </c>
      <c r="B143" s="4" t="n"/>
      <c r="C143" s="4" t="n"/>
      <c r="D143" s="4" t="n"/>
      <c r="E143" s="4" t="n"/>
      <c r="F143" s="4" t="n"/>
    </row>
    <row r="144" ht="20" customHeight="1">
      <c r="A144" s="20" t="inlineStr"/>
      <c r="B144" s="7" t="inlineStr">
        <is>
          <t>Pekerja Biasa</t>
        </is>
      </c>
      <c r="C144" s="21" t="inlineStr">
        <is>
          <t>OH</t>
        </is>
      </c>
      <c r="D144" s="22" t="n">
        <v>0.25</v>
      </c>
      <c r="E144" s="23" t="n">
        <v>120000</v>
      </c>
      <c r="F144" s="23">
        <f>D144*E144</f>
        <v/>
      </c>
    </row>
    <row r="145" ht="20" customHeight="1">
      <c r="A145" s="20" t="inlineStr"/>
      <c r="B145" s="7" t="inlineStr">
        <is>
          <t>Tukang</t>
        </is>
      </c>
      <c r="C145" s="21" t="inlineStr">
        <is>
          <t>OH</t>
        </is>
      </c>
      <c r="D145" s="22" t="n">
        <v>0.35</v>
      </c>
      <c r="E145" s="23" t="n">
        <v>160000</v>
      </c>
      <c r="F145" s="23">
        <f>D145*E145</f>
        <v/>
      </c>
    </row>
    <row r="146" ht="20" customHeight="1">
      <c r="A146" s="20" t="inlineStr"/>
      <c r="B146" s="7" t="inlineStr">
        <is>
          <t>Mandor</t>
        </is>
      </c>
      <c r="C146" s="21" t="inlineStr">
        <is>
          <t>OH</t>
        </is>
      </c>
      <c r="D146" s="22" t="n">
        <v>0.02</v>
      </c>
      <c r="E146" s="23" t="n">
        <v>185000</v>
      </c>
      <c r="F146" s="23">
        <f>D146*E146</f>
        <v/>
      </c>
    </row>
    <row r="147" ht="20" customHeight="1">
      <c r="A147" s="24" t="inlineStr"/>
      <c r="B147" s="25" t="inlineStr">
        <is>
          <t>JUMLAH A. TENAGA KERJA</t>
        </is>
      </c>
      <c r="C147" s="24" t="n"/>
      <c r="D147" s="24" t="n"/>
      <c r="E147" s="24" t="n"/>
      <c r="F147" s="26">
        <f>SUM(F144:F146)</f>
        <v/>
      </c>
    </row>
    <row r="148" ht="20" customHeight="1">
      <c r="A148" s="4" t="inlineStr">
        <is>
          <t>B. PERALATAN</t>
        </is>
      </c>
      <c r="B148" s="4" t="n"/>
      <c r="C148" s="4" t="n"/>
      <c r="D148" s="4" t="n"/>
      <c r="E148" s="4" t="n"/>
      <c r="F148" s="4" t="n"/>
    </row>
    <row r="149" ht="20" customHeight="1">
      <c r="A149" s="20" t="inlineStr"/>
      <c r="B149" s="7" t="inlineStr">
        <is>
          <t>Chainsaw Sedang</t>
        </is>
      </c>
      <c r="C149" s="21" t="inlineStr">
        <is>
          <t>Jam</t>
        </is>
      </c>
      <c r="D149" s="22" t="n">
        <v>1.5</v>
      </c>
      <c r="E149" s="23" t="n">
        <v>65000</v>
      </c>
      <c r="F149" s="23">
        <f>D149*E149</f>
        <v/>
      </c>
    </row>
    <row r="150" ht="20" customHeight="1">
      <c r="A150" s="20" t="inlineStr"/>
      <c r="B150" s="7" t="inlineStr">
        <is>
          <t>Dump Truck - Angkut Limbah</t>
        </is>
      </c>
      <c r="C150" s="21" t="inlineStr">
        <is>
          <t>Jam</t>
        </is>
      </c>
      <c r="D150" s="22" t="n">
        <v>0.75</v>
      </c>
      <c r="E150" s="23" t="n">
        <v>350000</v>
      </c>
      <c r="F150" s="23">
        <f>D150*E150</f>
        <v/>
      </c>
    </row>
    <row r="151" ht="20" customHeight="1">
      <c r="A151" s="20" t="inlineStr"/>
      <c r="B151" s="7" t="inlineStr">
        <is>
          <t>Alat Bantu</t>
        </is>
      </c>
      <c r="C151" s="21" t="inlineStr">
        <is>
          <t>LS</t>
        </is>
      </c>
      <c r="D151" s="22" t="n">
        <v>1</v>
      </c>
      <c r="E151" s="23" t="n">
        <v>1875</v>
      </c>
      <c r="F151" s="23">
        <f>D151*E151</f>
        <v/>
      </c>
    </row>
    <row r="152" ht="20" customHeight="1">
      <c r="A152" s="24" t="inlineStr"/>
      <c r="B152" s="25" t="inlineStr">
        <is>
          <t>JUMLAH B. PERALATAN</t>
        </is>
      </c>
      <c r="C152" s="24" t="n"/>
      <c r="D152" s="24" t="n"/>
      <c r="E152" s="24" t="n"/>
      <c r="F152" s="26">
        <f>SUM(F149:F151)</f>
        <v/>
      </c>
    </row>
    <row r="153" ht="20" customHeight="1">
      <c r="A153" s="4" t="inlineStr">
        <is>
          <t>C. BAHAN / MATERIAL</t>
        </is>
      </c>
      <c r="B153" s="4" t="n"/>
      <c r="C153" s="4" t="n"/>
      <c r="D153" s="4" t="n"/>
      <c r="E153" s="4" t="n"/>
      <c r="F153" s="4" t="n"/>
    </row>
    <row r="154" ht="20" customHeight="1">
      <c r="A154" s="24" t="inlineStr"/>
      <c r="B154" s="25" t="inlineStr">
        <is>
          <t>JUMLAH C. BAHAN / MATERIAL</t>
        </is>
      </c>
      <c r="C154" s="24" t="n"/>
      <c r="D154" s="24" t="n"/>
      <c r="E154" s="24" t="n"/>
      <c r="F154" s="26" t="n">
        <v>0</v>
      </c>
    </row>
    <row r="155" ht="22" customHeight="1">
      <c r="A155" s="27" t="inlineStr">
        <is>
          <t>D</t>
        </is>
      </c>
      <c r="B155" s="28" t="inlineStr">
        <is>
          <t>JUMLAH BIAYA LANGSUNG  (A + B + C)</t>
        </is>
      </c>
      <c r="C155" s="29" t="n"/>
      <c r="D155" s="29" t="n"/>
      <c r="E155" s="29" t="n"/>
      <c r="F155" s="30">
        <f>F147+F152+F154</f>
        <v/>
      </c>
    </row>
    <row r="156" ht="20" customHeight="1">
      <c r="A156" s="31" t="inlineStr">
        <is>
          <t>E</t>
        </is>
      </c>
      <c r="B156" s="32" t="inlineStr">
        <is>
          <t>OVERHEAD &amp; PROFIT  (15% x D)</t>
        </is>
      </c>
      <c r="C156" s="20" t="n"/>
      <c r="D156" s="20" t="n"/>
      <c r="E156" s="20" t="n"/>
      <c r="F156" s="33">
        <f>F155*0.15</f>
        <v/>
      </c>
    </row>
    <row r="157" ht="24" customHeight="1">
      <c r="A157" s="34" t="inlineStr">
        <is>
          <t>F</t>
        </is>
      </c>
      <c r="B157" s="35" t="inlineStr">
        <is>
          <t>HARGA SATUAN PEKERJAAN  (D + E)  — per Batang</t>
        </is>
      </c>
      <c r="C157" s="36" t="n"/>
      <c r="D157" s="36" t="n"/>
      <c r="E157" s="36" t="n"/>
      <c r="F157" s="37">
        <f>F155+F156</f>
        <v/>
      </c>
    </row>
    <row r="159" ht="22" customHeight="1">
      <c r="A159" s="19" t="inlineStr">
        <is>
          <t>B.5 · Pemotongan Ø 75–100 cm (Pohon Sangat Besar)</t>
        </is>
      </c>
      <c r="B159" s="19" t="n"/>
      <c r="C159" s="19" t="n"/>
      <c r="D159" s="19" t="n"/>
      <c r="E159" s="19" t="n"/>
      <c r="F159" s="19" t="n"/>
    </row>
    <row r="160" ht="20" customHeight="1">
      <c r="A160" s="4" t="inlineStr">
        <is>
          <t>A. TENAGA KERJA</t>
        </is>
      </c>
      <c r="B160" s="4" t="n"/>
      <c r="C160" s="4" t="n"/>
      <c r="D160" s="4" t="n"/>
      <c r="E160" s="4" t="n"/>
      <c r="F160" s="4" t="n"/>
    </row>
    <row r="161" ht="20" customHeight="1">
      <c r="A161" s="20" t="inlineStr"/>
      <c r="B161" s="7" t="inlineStr">
        <is>
          <t>Pekerja Biasa</t>
        </is>
      </c>
      <c r="C161" s="21" t="inlineStr">
        <is>
          <t>OH</t>
        </is>
      </c>
      <c r="D161" s="22" t="n">
        <v>0.4</v>
      </c>
      <c r="E161" s="23" t="n">
        <v>120000</v>
      </c>
      <c r="F161" s="23">
        <f>D161*E161</f>
        <v/>
      </c>
    </row>
    <row r="162" ht="20" customHeight="1">
      <c r="A162" s="20" t="inlineStr"/>
      <c r="B162" s="7" t="inlineStr">
        <is>
          <t>Tukang</t>
        </is>
      </c>
      <c r="C162" s="21" t="inlineStr">
        <is>
          <t>OH</t>
        </is>
      </c>
      <c r="D162" s="22" t="n">
        <v>0.5</v>
      </c>
      <c r="E162" s="23" t="n">
        <v>160000</v>
      </c>
      <c r="F162" s="23">
        <f>D162*E162</f>
        <v/>
      </c>
    </row>
    <row r="163" ht="20" customHeight="1">
      <c r="A163" s="20" t="inlineStr"/>
      <c r="B163" s="7" t="inlineStr">
        <is>
          <t>Mandor</t>
        </is>
      </c>
      <c r="C163" s="21" t="inlineStr">
        <is>
          <t>OH</t>
        </is>
      </c>
      <c r="D163" s="22" t="n">
        <v>0.03</v>
      </c>
      <c r="E163" s="23" t="n">
        <v>185000</v>
      </c>
      <c r="F163" s="23">
        <f>D163*E163</f>
        <v/>
      </c>
    </row>
    <row r="164" ht="20" customHeight="1">
      <c r="A164" s="24" t="inlineStr"/>
      <c r="B164" s="25" t="inlineStr">
        <is>
          <t>JUMLAH A. TENAGA KERJA</t>
        </is>
      </c>
      <c r="C164" s="24" t="n"/>
      <c r="D164" s="24" t="n"/>
      <c r="E164" s="24" t="n"/>
      <c r="F164" s="26">
        <f>SUM(F161:F163)</f>
        <v/>
      </c>
    </row>
    <row r="165" ht="20" customHeight="1">
      <c r="A165" s="4" t="inlineStr">
        <is>
          <t>B. PERALATAN</t>
        </is>
      </c>
      <c r="B165" s="4" t="n"/>
      <c r="C165" s="4" t="n"/>
      <c r="D165" s="4" t="n"/>
      <c r="E165" s="4" t="n"/>
      <c r="F165" s="4" t="n"/>
    </row>
    <row r="166" ht="20" customHeight="1">
      <c r="A166" s="20" t="inlineStr"/>
      <c r="B166" s="7" t="inlineStr">
        <is>
          <t>Chainsaw Besar</t>
        </is>
      </c>
      <c r="C166" s="21" t="inlineStr">
        <is>
          <t>Jam</t>
        </is>
      </c>
      <c r="D166" s="22" t="n">
        <v>2</v>
      </c>
      <c r="E166" s="23" t="n">
        <v>90000</v>
      </c>
      <c r="F166" s="23">
        <f>D166*E166</f>
        <v/>
      </c>
    </row>
    <row r="167" ht="20" customHeight="1">
      <c r="A167" s="20" t="inlineStr"/>
      <c r="B167" s="7" t="inlineStr">
        <is>
          <t>Dump Truck - Angkut Limbah</t>
        </is>
      </c>
      <c r="C167" s="21" t="inlineStr">
        <is>
          <t>Jam</t>
        </is>
      </c>
      <c r="D167" s="22" t="n">
        <v>1.4</v>
      </c>
      <c r="E167" s="23" t="n">
        <v>350000</v>
      </c>
      <c r="F167" s="23">
        <f>D167*E167</f>
        <v/>
      </c>
    </row>
    <row r="168" ht="20" customHeight="1">
      <c r="A168" s="20" t="inlineStr"/>
      <c r="B168" s="7" t="inlineStr">
        <is>
          <t>Alat Bantu</t>
        </is>
      </c>
      <c r="C168" s="21" t="inlineStr">
        <is>
          <t>LS</t>
        </is>
      </c>
      <c r="D168" s="22" t="n">
        <v>1</v>
      </c>
      <c r="E168" s="23" t="n">
        <v>2250</v>
      </c>
      <c r="F168" s="23">
        <f>D168*E168</f>
        <v/>
      </c>
    </row>
    <row r="169" ht="20" customHeight="1">
      <c r="A169" s="24" t="inlineStr"/>
      <c r="B169" s="25" t="inlineStr">
        <is>
          <t>JUMLAH B. PERALATAN</t>
        </is>
      </c>
      <c r="C169" s="24" t="n"/>
      <c r="D169" s="24" t="n"/>
      <c r="E169" s="24" t="n"/>
      <c r="F169" s="26">
        <f>SUM(F166:F168)</f>
        <v/>
      </c>
    </row>
    <row r="170" ht="20" customHeight="1">
      <c r="A170" s="4" t="inlineStr">
        <is>
          <t>C. BAHAN / MATERIAL</t>
        </is>
      </c>
      <c r="B170" s="4" t="n"/>
      <c r="C170" s="4" t="n"/>
      <c r="D170" s="4" t="n"/>
      <c r="E170" s="4" t="n"/>
      <c r="F170" s="4" t="n"/>
    </row>
    <row r="171" ht="20" customHeight="1">
      <c r="A171" s="24" t="inlineStr"/>
      <c r="B171" s="25" t="inlineStr">
        <is>
          <t>JUMLAH C. BAHAN / MATERIAL</t>
        </is>
      </c>
      <c r="C171" s="24" t="n"/>
      <c r="D171" s="24" t="n"/>
      <c r="E171" s="24" t="n"/>
      <c r="F171" s="26" t="n">
        <v>0</v>
      </c>
    </row>
    <row r="172" ht="22" customHeight="1">
      <c r="A172" s="27" t="inlineStr">
        <is>
          <t>D</t>
        </is>
      </c>
      <c r="B172" s="28" t="inlineStr">
        <is>
          <t>JUMLAH BIAYA LANGSUNG  (A + B + C)</t>
        </is>
      </c>
      <c r="C172" s="29" t="n"/>
      <c r="D172" s="29" t="n"/>
      <c r="E172" s="29" t="n"/>
      <c r="F172" s="30">
        <f>F164+F169+F171</f>
        <v/>
      </c>
    </row>
    <row r="173" ht="20" customHeight="1">
      <c r="A173" s="31" t="inlineStr">
        <is>
          <t>E</t>
        </is>
      </c>
      <c r="B173" s="32" t="inlineStr">
        <is>
          <t>OVERHEAD &amp; PROFIT  (15% x D)</t>
        </is>
      </c>
      <c r="C173" s="20" t="n"/>
      <c r="D173" s="20" t="n"/>
      <c r="E173" s="20" t="n"/>
      <c r="F173" s="33">
        <f>F172*0.15</f>
        <v/>
      </c>
    </row>
    <row r="174" ht="24" customHeight="1">
      <c r="A174" s="34" t="inlineStr">
        <is>
          <t>F</t>
        </is>
      </c>
      <c r="B174" s="35" t="inlineStr">
        <is>
          <t>HARGA SATUAN PEKERJAAN  (D + E)  — per Batang</t>
        </is>
      </c>
      <c r="C174" s="36" t="n"/>
      <c r="D174" s="36" t="n"/>
      <c r="E174" s="36" t="n"/>
      <c r="F174" s="37">
        <f>F172+F173</f>
        <v/>
      </c>
    </row>
    <row r="176" ht="22" customHeight="1">
      <c r="A176" s="19" t="inlineStr">
        <is>
          <t>B.6 · Pemotongan Ø &gt; 100 cm (Pohon Raksasa)</t>
        </is>
      </c>
      <c r="B176" s="19" t="n"/>
      <c r="C176" s="19" t="n"/>
      <c r="D176" s="19" t="n"/>
      <c r="E176" s="19" t="n"/>
      <c r="F176" s="19" t="n"/>
    </row>
    <row r="177" ht="20" customHeight="1">
      <c r="A177" s="4" t="inlineStr">
        <is>
          <t>A. TENAGA KERJA</t>
        </is>
      </c>
      <c r="B177" s="4" t="n"/>
      <c r="C177" s="4" t="n"/>
      <c r="D177" s="4" t="n"/>
      <c r="E177" s="4" t="n"/>
      <c r="F177" s="4" t="n"/>
    </row>
    <row r="178" ht="20" customHeight="1">
      <c r="A178" s="20" t="inlineStr"/>
      <c r="B178" s="7" t="inlineStr">
        <is>
          <t>Pekerja Biasa</t>
        </is>
      </c>
      <c r="C178" s="21" t="inlineStr">
        <is>
          <t>OH</t>
        </is>
      </c>
      <c r="D178" s="22" t="n">
        <v>0.6</v>
      </c>
      <c r="E178" s="23" t="n">
        <v>120000</v>
      </c>
      <c r="F178" s="23">
        <f>D178*E178</f>
        <v/>
      </c>
    </row>
    <row r="179" ht="20" customHeight="1">
      <c r="A179" s="20" t="inlineStr"/>
      <c r="B179" s="7" t="inlineStr">
        <is>
          <t>Tukang</t>
        </is>
      </c>
      <c r="C179" s="21" t="inlineStr">
        <is>
          <t>OH</t>
        </is>
      </c>
      <c r="D179" s="22" t="n">
        <v>0.75</v>
      </c>
      <c r="E179" s="23" t="n">
        <v>160000</v>
      </c>
      <c r="F179" s="23">
        <f>D179*E179</f>
        <v/>
      </c>
    </row>
    <row r="180" ht="20" customHeight="1">
      <c r="A180" s="20" t="inlineStr"/>
      <c r="B180" s="7" t="inlineStr">
        <is>
          <t>Mandor</t>
        </is>
      </c>
      <c r="C180" s="21" t="inlineStr">
        <is>
          <t>OH</t>
        </is>
      </c>
      <c r="D180" s="22" t="n">
        <v>0.05</v>
      </c>
      <c r="E180" s="23" t="n">
        <v>185000</v>
      </c>
      <c r="F180" s="23">
        <f>D180*E180</f>
        <v/>
      </c>
    </row>
    <row r="181" ht="20" customHeight="1">
      <c r="A181" s="24" t="inlineStr"/>
      <c r="B181" s="25" t="inlineStr">
        <is>
          <t>JUMLAH A. TENAGA KERJA</t>
        </is>
      </c>
      <c r="C181" s="24" t="n"/>
      <c r="D181" s="24" t="n"/>
      <c r="E181" s="24" t="n"/>
      <c r="F181" s="26">
        <f>SUM(F178:F180)</f>
        <v/>
      </c>
    </row>
    <row r="182" ht="20" customHeight="1">
      <c r="A182" s="4" t="inlineStr">
        <is>
          <t>B. PERALATAN</t>
        </is>
      </c>
      <c r="B182" s="4" t="n"/>
      <c r="C182" s="4" t="n"/>
      <c r="D182" s="4" t="n"/>
      <c r="E182" s="4" t="n"/>
      <c r="F182" s="4" t="n"/>
    </row>
    <row r="183" ht="20" customHeight="1">
      <c r="A183" s="20" t="inlineStr"/>
      <c r="B183" s="7" t="inlineStr">
        <is>
          <t>Chainsaw Besar</t>
        </is>
      </c>
      <c r="C183" s="21" t="inlineStr">
        <is>
          <t>Jam</t>
        </is>
      </c>
      <c r="D183" s="22" t="n">
        <v>3</v>
      </c>
      <c r="E183" s="23" t="n">
        <v>90000</v>
      </c>
      <c r="F183" s="23">
        <f>D183*E183</f>
        <v/>
      </c>
    </row>
    <row r="184" ht="20" customHeight="1">
      <c r="A184" s="20" t="inlineStr"/>
      <c r="B184" s="7" t="inlineStr">
        <is>
          <t>Dump Truck - Angkut Limbah</t>
        </is>
      </c>
      <c r="C184" s="21" t="inlineStr">
        <is>
          <t>Jam</t>
        </is>
      </c>
      <c r="D184" s="22" t="n">
        <v>2.35</v>
      </c>
      <c r="E184" s="23" t="n">
        <v>350000</v>
      </c>
      <c r="F184" s="23">
        <f>D184*E184</f>
        <v/>
      </c>
    </row>
    <row r="185" ht="20" customHeight="1">
      <c r="A185" s="20" t="inlineStr"/>
      <c r="B185" s="7" t="inlineStr">
        <is>
          <t>Alat Bantu</t>
        </is>
      </c>
      <c r="C185" s="21" t="inlineStr">
        <is>
          <t>LS</t>
        </is>
      </c>
      <c r="D185" s="22" t="n">
        <v>1</v>
      </c>
      <c r="E185" s="23" t="n">
        <v>3750</v>
      </c>
      <c r="F185" s="23">
        <f>D185*E185</f>
        <v/>
      </c>
    </row>
    <row r="186" ht="20" customHeight="1">
      <c r="A186" s="24" t="inlineStr"/>
      <c r="B186" s="25" t="inlineStr">
        <is>
          <t>JUMLAH B. PERALATAN</t>
        </is>
      </c>
      <c r="C186" s="24" t="n"/>
      <c r="D186" s="24" t="n"/>
      <c r="E186" s="24" t="n"/>
      <c r="F186" s="26">
        <f>SUM(F183:F185)</f>
        <v/>
      </c>
    </row>
    <row r="187" ht="20" customHeight="1">
      <c r="A187" s="4" t="inlineStr">
        <is>
          <t>C. BAHAN / MATERIAL</t>
        </is>
      </c>
      <c r="B187" s="4" t="n"/>
      <c r="C187" s="4" t="n"/>
      <c r="D187" s="4" t="n"/>
      <c r="E187" s="4" t="n"/>
      <c r="F187" s="4" t="n"/>
    </row>
    <row r="188" ht="20" customHeight="1">
      <c r="A188" s="24" t="inlineStr"/>
      <c r="B188" s="25" t="inlineStr">
        <is>
          <t>JUMLAH C. BAHAN / MATERIAL</t>
        </is>
      </c>
      <c r="C188" s="24" t="n"/>
      <c r="D188" s="24" t="n"/>
      <c r="E188" s="24" t="n"/>
      <c r="F188" s="26" t="n">
        <v>0</v>
      </c>
    </row>
    <row r="189" ht="22" customHeight="1">
      <c r="A189" s="27" t="inlineStr">
        <is>
          <t>D</t>
        </is>
      </c>
      <c r="B189" s="28" t="inlineStr">
        <is>
          <t>JUMLAH BIAYA LANGSUNG  (A + B + C)</t>
        </is>
      </c>
      <c r="C189" s="29" t="n"/>
      <c r="D189" s="29" t="n"/>
      <c r="E189" s="29" t="n"/>
      <c r="F189" s="30">
        <f>F181+F186+F188</f>
        <v/>
      </c>
    </row>
    <row r="190" ht="20" customHeight="1">
      <c r="A190" s="31" t="inlineStr">
        <is>
          <t>E</t>
        </is>
      </c>
      <c r="B190" s="32" t="inlineStr">
        <is>
          <t>OVERHEAD &amp; PROFIT  (15% x D)</t>
        </is>
      </c>
      <c r="C190" s="20" t="n"/>
      <c r="D190" s="20" t="n"/>
      <c r="E190" s="20" t="n"/>
      <c r="F190" s="33">
        <f>F189*0.15</f>
        <v/>
      </c>
    </row>
    <row r="191" ht="24" customHeight="1">
      <c r="A191" s="34" t="inlineStr">
        <is>
          <t>F</t>
        </is>
      </c>
      <c r="B191" s="35" t="inlineStr">
        <is>
          <t>HARGA SATUAN PEKERJAAN  (D + E)  — per Batang</t>
        </is>
      </c>
      <c r="C191" s="36" t="n"/>
      <c r="D191" s="36" t="n"/>
      <c r="E191" s="36" t="n"/>
      <c r="F191" s="37">
        <f>F189+F190</f>
        <v/>
      </c>
    </row>
  </sheetData>
  <mergeCells count="114">
    <mergeCell ref="A75:F75"/>
    <mergeCell ref="B139:E139"/>
    <mergeCell ref="B123:E123"/>
    <mergeCell ref="B36:E36"/>
    <mergeCell ref="A160:F160"/>
    <mergeCell ref="B173:E173"/>
    <mergeCell ref="A5:F5"/>
    <mergeCell ref="A32:F32"/>
    <mergeCell ref="A159:F159"/>
    <mergeCell ref="B155:E155"/>
    <mergeCell ref="B31:E31"/>
    <mergeCell ref="B102:E102"/>
    <mergeCell ref="A40:F40"/>
    <mergeCell ref="A15:F15"/>
    <mergeCell ref="B14:E14"/>
    <mergeCell ref="B69:E69"/>
    <mergeCell ref="B191:E191"/>
    <mergeCell ref="B87:E87"/>
    <mergeCell ref="A99:F99"/>
    <mergeCell ref="B104:E104"/>
    <mergeCell ref="B51:E51"/>
    <mergeCell ref="B164:E164"/>
    <mergeCell ref="B114:E114"/>
    <mergeCell ref="A2:F2"/>
    <mergeCell ref="B154:E154"/>
    <mergeCell ref="A85:F85"/>
    <mergeCell ref="B35:E35"/>
    <mergeCell ref="B106:E106"/>
    <mergeCell ref="A126:F126"/>
    <mergeCell ref="B138:E138"/>
    <mergeCell ref="A22:F22"/>
    <mergeCell ref="B90:E90"/>
    <mergeCell ref="A62:F62"/>
    <mergeCell ref="B156:E156"/>
    <mergeCell ref="B66:E66"/>
    <mergeCell ref="A125:F125"/>
    <mergeCell ref="B18:E18"/>
    <mergeCell ref="B27:E27"/>
    <mergeCell ref="A28:F28"/>
    <mergeCell ref="B140:E140"/>
    <mergeCell ref="B130:E130"/>
    <mergeCell ref="A176:F176"/>
    <mergeCell ref="A142:F142"/>
    <mergeCell ref="A11:F11"/>
    <mergeCell ref="B61:E61"/>
    <mergeCell ref="A182:F182"/>
    <mergeCell ref="B53:E53"/>
    <mergeCell ref="B37:E37"/>
    <mergeCell ref="A153:F153"/>
    <mergeCell ref="B174:E174"/>
    <mergeCell ref="B186:E186"/>
    <mergeCell ref="B84:E84"/>
    <mergeCell ref="B118:E118"/>
    <mergeCell ref="A177:F177"/>
    <mergeCell ref="A136:F136"/>
    <mergeCell ref="A74:F74"/>
    <mergeCell ref="A56:F56"/>
    <mergeCell ref="B89:E89"/>
    <mergeCell ref="B169:E169"/>
    <mergeCell ref="B79:E79"/>
    <mergeCell ref="B54:E54"/>
    <mergeCell ref="B72:E72"/>
    <mergeCell ref="A131:F131"/>
    <mergeCell ref="A109:F109"/>
    <mergeCell ref="B121:E121"/>
    <mergeCell ref="A165:F165"/>
    <mergeCell ref="B122:E122"/>
    <mergeCell ref="B71:E71"/>
    <mergeCell ref="A115:F115"/>
    <mergeCell ref="A93:F93"/>
    <mergeCell ref="B105:E105"/>
    <mergeCell ref="B52:E52"/>
    <mergeCell ref="B120:E120"/>
    <mergeCell ref="A143:F143"/>
    <mergeCell ref="A92:F92"/>
    <mergeCell ref="A39:F39"/>
    <mergeCell ref="B107:E107"/>
    <mergeCell ref="B17:E17"/>
    <mergeCell ref="A49:F49"/>
    <mergeCell ref="B157:E157"/>
    <mergeCell ref="A1:F1"/>
    <mergeCell ref="A45:F45"/>
    <mergeCell ref="B44:E44"/>
    <mergeCell ref="A94:F94"/>
    <mergeCell ref="A103:F103"/>
    <mergeCell ref="B171:E171"/>
    <mergeCell ref="B19:E19"/>
    <mergeCell ref="B34:E34"/>
    <mergeCell ref="B172:E172"/>
    <mergeCell ref="A80:F80"/>
    <mergeCell ref="B20:E20"/>
    <mergeCell ref="B189:E189"/>
    <mergeCell ref="A57:F57"/>
    <mergeCell ref="B188:E188"/>
    <mergeCell ref="B135:E135"/>
    <mergeCell ref="A23:F23"/>
    <mergeCell ref="A4:F4"/>
    <mergeCell ref="B190:E190"/>
    <mergeCell ref="A170:F170"/>
    <mergeCell ref="B152:E152"/>
    <mergeCell ref="B70:E70"/>
    <mergeCell ref="B48:E48"/>
    <mergeCell ref="A67:F67"/>
    <mergeCell ref="A148:F148"/>
    <mergeCell ref="B98:E98"/>
    <mergeCell ref="B181:E181"/>
    <mergeCell ref="B88:E88"/>
    <mergeCell ref="A110:F110"/>
    <mergeCell ref="B147:E147"/>
    <mergeCell ref="A6:F6"/>
    <mergeCell ref="A119:F119"/>
    <mergeCell ref="B10:E10"/>
    <mergeCell ref="A187:F187"/>
    <mergeCell ref="B137:E1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10" customWidth="1" min="4" max="4"/>
    <col width="16" customWidth="1" min="5" max="5"/>
    <col width="22" customWidth="1" min="6" max="6"/>
    <col width="24" customWidth="1" min="7" max="7"/>
  </cols>
  <sheetData>
    <row r="1" ht="34" customHeight="1">
      <c r="A1" s="1" t="inlineStr">
        <is>
          <t>REKAPITULASI RENCANA ANGGARAN BIAYA (RAB)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Pekerjaan Pemotongan / Perampingan Pohon  |  AHSP 2026 PUPR  |  SE Ditjen BK No. 47/SE/Dk/2026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17" t="inlineStr">
        <is>
          <t>No.</t>
        </is>
      </c>
      <c r="B3" s="17" t="inlineStr">
        <is>
          <t>Kode</t>
        </is>
      </c>
      <c r="C3" s="17" t="inlineStr">
        <is>
          <t>Uraian Pekerjaan</t>
        </is>
      </c>
      <c r="D3" s="17" t="inlineStr">
        <is>
          <t>Satuan</t>
        </is>
      </c>
      <c r="E3" s="17" t="inlineStr">
        <is>
          <t>Volume
(Batang)</t>
        </is>
      </c>
      <c r="F3" s="17" t="inlineStr">
        <is>
          <t>Harga Satuan
(Rp)</t>
        </is>
      </c>
      <c r="G3" s="17" t="inlineStr">
        <is>
          <t>Jumlah Harga
(Rp)</t>
        </is>
      </c>
    </row>
    <row r="4" ht="24" customHeight="1">
      <c r="A4" s="18" t="inlineStr">
        <is>
          <t>A.  PERAMPINGAN / PEMANGKASAN POHON  (Pohon Tetap Berdiri / Hidup)</t>
        </is>
      </c>
      <c r="B4" s="18" t="n"/>
      <c r="C4" s="18" t="n"/>
      <c r="D4" s="18" t="n"/>
      <c r="E4" s="18" t="n"/>
      <c r="F4" s="18" t="n"/>
      <c r="G4" s="18" t="n"/>
    </row>
    <row r="5" ht="20" customHeight="1">
      <c r="A5" s="21" t="n">
        <v>1</v>
      </c>
      <c r="B5" s="21" t="inlineStr">
        <is>
          <t>A.1</t>
        </is>
      </c>
      <c r="C5" s="6" t="inlineStr">
        <is>
          <t>Perampingan Ø 5–15 cm — Pohon kecil / perdu</t>
        </is>
      </c>
      <c r="D5" s="21" t="inlineStr">
        <is>
          <t>Batang</t>
        </is>
      </c>
      <c r="E5" s="38" t="n">
        <v>3</v>
      </c>
      <c r="F5" s="23" t="n">
        <v>42000</v>
      </c>
      <c r="G5" s="23">
        <f>E5*F5</f>
        <v/>
      </c>
    </row>
    <row r="6" ht="20" customHeight="1">
      <c r="A6" s="39" t="n">
        <v>2</v>
      </c>
      <c r="B6" s="39" t="inlineStr">
        <is>
          <t>A.2</t>
        </is>
      </c>
      <c r="C6" s="40" t="inlineStr">
        <is>
          <t>Perampingan Ø 15–30 cm — Pohon sedang kecil</t>
        </is>
      </c>
      <c r="D6" s="39" t="inlineStr">
        <is>
          <t>Batang</t>
        </is>
      </c>
      <c r="E6" s="41" t="n">
        <v>5</v>
      </c>
      <c r="F6" s="42" t="n">
        <v>68000</v>
      </c>
      <c r="G6" s="42">
        <f>E6*F6</f>
        <v/>
      </c>
    </row>
    <row r="7" ht="20" customHeight="1">
      <c r="A7" s="21" t="n">
        <v>3</v>
      </c>
      <c r="B7" s="21" t="inlineStr">
        <is>
          <t>A.3</t>
        </is>
      </c>
      <c r="C7" s="6" t="inlineStr">
        <is>
          <t>Perampingan Ø 30–50 cm — Pohon sedang</t>
        </is>
      </c>
      <c r="D7" s="21" t="inlineStr">
        <is>
          <t>Batang</t>
        </is>
      </c>
      <c r="E7" s="38" t="n">
        <v>0</v>
      </c>
      <c r="F7" s="23" t="n">
        <v>133500</v>
      </c>
      <c r="G7" s="23">
        <f>E7*F7</f>
        <v/>
      </c>
    </row>
    <row r="8" ht="20" customHeight="1">
      <c r="A8" s="39" t="n">
        <v>4</v>
      </c>
      <c r="B8" s="39" t="inlineStr">
        <is>
          <t>A.4</t>
        </is>
      </c>
      <c r="C8" s="40" t="inlineStr">
        <is>
          <t>Perampingan Ø 50–75 cm — Pohon besar</t>
        </is>
      </c>
      <c r="D8" s="39" t="inlineStr">
        <is>
          <t>Batang</t>
        </is>
      </c>
      <c r="E8" s="41" t="n">
        <v>0</v>
      </c>
      <c r="F8" s="42" t="n">
        <v>413000</v>
      </c>
      <c r="G8" s="42">
        <f>E8*F8</f>
        <v/>
      </c>
    </row>
    <row r="9" ht="20" customHeight="1">
      <c r="A9" s="21" t="n">
        <v>5</v>
      </c>
      <c r="B9" s="21" t="inlineStr">
        <is>
          <t>A.5</t>
        </is>
      </c>
      <c r="C9" s="6" t="inlineStr">
        <is>
          <t>Perampingan Ø &gt; 75 cm — Pohon sangat besar</t>
        </is>
      </c>
      <c r="D9" s="21" t="inlineStr">
        <is>
          <t>Batang</t>
        </is>
      </c>
      <c r="E9" s="38" t="n">
        <v>0</v>
      </c>
      <c r="F9" s="23" t="n">
        <v>841000</v>
      </c>
      <c r="G9" s="23">
        <f>E9*F9</f>
        <v/>
      </c>
    </row>
    <row r="10" ht="22" customHeight="1">
      <c r="A10" s="4" t="inlineStr">
        <is>
          <t>Sub-Total Kelompok A (Perampingan / Pemangkasan)</t>
        </is>
      </c>
      <c r="B10" s="43" t="n"/>
      <c r="C10" s="43" t="n"/>
      <c r="D10" s="43" t="n"/>
      <c r="E10" s="43" t="n"/>
      <c r="F10" s="43" t="n"/>
      <c r="G10" s="44">
        <f>SUM(G5:G9)</f>
        <v/>
      </c>
    </row>
    <row r="11" ht="24" customHeight="1">
      <c r="A11" s="18" t="inlineStr">
        <is>
          <t>B.  PEMOTONGAN / PENEBANGAN POHON  (Ditebang Habis + Angkut Limbah)</t>
        </is>
      </c>
      <c r="B11" s="18" t="n"/>
      <c r="C11" s="18" t="n"/>
      <c r="D11" s="18" t="n"/>
      <c r="E11" s="18" t="n"/>
      <c r="F11" s="18" t="n"/>
      <c r="G11" s="18" t="n"/>
    </row>
    <row r="12" ht="20" customHeight="1">
      <c r="A12" s="21" t="n">
        <v>1</v>
      </c>
      <c r="B12" s="21" t="inlineStr">
        <is>
          <t>B.1</t>
        </is>
      </c>
      <c r="C12" s="6" t="inlineStr">
        <is>
          <t>Pemotongan Ø &lt; 15 cm — Pohon kecil / perdu</t>
        </is>
      </c>
      <c r="D12" s="21" t="inlineStr">
        <is>
          <t>Batang</t>
        </is>
      </c>
      <c r="E12" s="38" t="n">
        <v>8</v>
      </c>
      <c r="F12" s="23" t="n">
        <v>36000</v>
      </c>
      <c r="G12" s="23">
        <f>E12*F12</f>
        <v/>
      </c>
    </row>
    <row r="13" ht="20" customHeight="1">
      <c r="A13" s="39" t="n">
        <v>2</v>
      </c>
      <c r="B13" s="39" t="inlineStr">
        <is>
          <t>B.2</t>
        </is>
      </c>
      <c r="C13" s="40" t="inlineStr">
        <is>
          <t>Pemotongan Ø 15–30 cm — Pohon sedang kecil</t>
        </is>
      </c>
      <c r="D13" s="39" t="inlineStr">
        <is>
          <t>Batang</t>
        </is>
      </c>
      <c r="E13" s="41" t="n">
        <v>0</v>
      </c>
      <c r="F13" s="42" t="n">
        <v>64000</v>
      </c>
      <c r="G13" s="42">
        <f>E13*F13</f>
        <v/>
      </c>
    </row>
    <row r="14" ht="20" customHeight="1">
      <c r="A14" s="21" t="n">
        <v>3</v>
      </c>
      <c r="B14" s="21" t="inlineStr">
        <is>
          <t>B.3</t>
        </is>
      </c>
      <c r="C14" s="6" t="inlineStr">
        <is>
          <t>Pemotongan Ø 30–50 cm — Pohon sedang</t>
        </is>
      </c>
      <c r="D14" s="21" t="inlineStr">
        <is>
          <t>Batang</t>
        </is>
      </c>
      <c r="E14" s="38" t="n">
        <v>3</v>
      </c>
      <c r="F14" s="23" t="n">
        <v>243000</v>
      </c>
      <c r="G14" s="23">
        <f>E14*F14</f>
        <v/>
      </c>
    </row>
    <row r="15" ht="20" customHeight="1">
      <c r="A15" s="39" t="n">
        <v>4</v>
      </c>
      <c r="B15" s="39" t="inlineStr">
        <is>
          <t>B.4</t>
        </is>
      </c>
      <c r="C15" s="40" t="inlineStr">
        <is>
          <t>Pemotongan Ø 50–75 cm — Pohon besar</t>
        </is>
      </c>
      <c r="D15" s="39" t="inlineStr">
        <is>
          <t>Batang</t>
        </is>
      </c>
      <c r="E15" s="41" t="n">
        <v>2</v>
      </c>
      <c r="F15" s="42" t="n">
        <v>519500</v>
      </c>
      <c r="G15" s="42">
        <f>E15*F15</f>
        <v/>
      </c>
    </row>
    <row r="16" ht="20" customHeight="1">
      <c r="A16" s="21" t="n">
        <v>5</v>
      </c>
      <c r="B16" s="21" t="inlineStr">
        <is>
          <t>B.5</t>
        </is>
      </c>
      <c r="C16" s="6" t="inlineStr">
        <is>
          <t>Pemotongan Ø 75–100 cm — Pohon sangat besar</t>
        </is>
      </c>
      <c r="D16" s="21" t="inlineStr">
        <is>
          <t>Batang</t>
        </is>
      </c>
      <c r="E16" s="38" t="n">
        <v>2</v>
      </c>
      <c r="F16" s="23" t="n">
        <v>927000</v>
      </c>
      <c r="G16" s="23">
        <f>E16*F16</f>
        <v/>
      </c>
    </row>
    <row r="17" ht="20" customHeight="1">
      <c r="A17" s="39" t="n">
        <v>6</v>
      </c>
      <c r="B17" s="39" t="inlineStr">
        <is>
          <t>B.6</t>
        </is>
      </c>
      <c r="C17" s="40" t="inlineStr">
        <is>
          <t>Pemotongan Ø &gt; 100 cm — Pohon raksasa</t>
        </is>
      </c>
      <c r="D17" s="39" t="inlineStr">
        <is>
          <t>Batang</t>
        </is>
      </c>
      <c r="E17" s="41" t="n">
        <v>1</v>
      </c>
      <c r="F17" s="42" t="n">
        <v>1492500</v>
      </c>
      <c r="G17" s="42">
        <f>E17*F17</f>
        <v/>
      </c>
    </row>
    <row r="18" ht="22" customHeight="1">
      <c r="A18" s="4" t="inlineStr">
        <is>
          <t>Sub-Total Kelompok B (Pemotongan / Penebangan)</t>
        </is>
      </c>
      <c r="B18" s="43" t="n"/>
      <c r="C18" s="43" t="n"/>
      <c r="D18" s="43" t="n"/>
      <c r="E18" s="43" t="n"/>
      <c r="F18" s="43" t="n"/>
      <c r="G18" s="44">
        <f>SUM(G12:G17)</f>
        <v/>
      </c>
    </row>
    <row r="19" ht="22" customHeight="1">
      <c r="A19" s="45" t="inlineStr">
        <is>
          <t>JUMLAH BIAYA LANGSUNG FISIK  (A + B)</t>
        </is>
      </c>
      <c r="B19" s="28" t="n"/>
      <c r="C19" s="28" t="n"/>
      <c r="D19" s="28" t="n"/>
      <c r="E19" s="28" t="n"/>
      <c r="F19" s="28" t="n"/>
      <c r="G19" s="30">
        <f>G10+G18</f>
        <v/>
      </c>
    </row>
    <row r="20" ht="20" customHeight="1">
      <c r="A20" s="46" t="inlineStr">
        <is>
          <t>BIAYA PENERAPAN SMKK / K3  (2.5% x Total Fisik)</t>
        </is>
      </c>
      <c r="B20" s="47" t="n"/>
      <c r="C20" s="47" t="n"/>
      <c r="D20" s="47" t="n"/>
      <c r="E20" s="47" t="n"/>
      <c r="F20" s="47" t="n"/>
      <c r="G20" s="48">
        <f>G19*0.025</f>
        <v/>
      </c>
    </row>
    <row r="21" ht="22" customHeight="1">
      <c r="A21" s="45" t="inlineStr">
        <is>
          <t>JUMLAH BIAYA FISIK + SMKK</t>
        </is>
      </c>
      <c r="B21" s="28" t="n"/>
      <c r="C21" s="28" t="n"/>
      <c r="D21" s="28" t="n"/>
      <c r="E21" s="28" t="n"/>
      <c r="F21" s="28" t="n"/>
      <c r="G21" s="30">
        <f>G19+G20</f>
        <v/>
      </c>
    </row>
    <row r="22" ht="20" customHeight="1">
      <c r="A22" s="46" t="inlineStr">
        <is>
          <t>PAJAK PERTAMBAHAN NILAI  (PPN 11%)</t>
        </is>
      </c>
      <c r="B22" s="47" t="n"/>
      <c r="C22" s="47" t="n"/>
      <c r="D22" s="47" t="n"/>
      <c r="E22" s="47" t="n"/>
      <c r="F22" s="47" t="n"/>
      <c r="G22" s="48">
        <f>G21*0.11</f>
        <v/>
      </c>
    </row>
    <row r="23" ht="26" customHeight="1">
      <c r="A23" s="11" t="inlineStr">
        <is>
          <t>GRAND TOTAL RENCANA ANGGARAN BIAYA (RAB)</t>
        </is>
      </c>
      <c r="B23" s="12" t="n"/>
      <c r="C23" s="12" t="n"/>
      <c r="D23" s="12" t="n"/>
      <c r="E23" s="12" t="n"/>
      <c r="F23" s="12" t="n"/>
      <c r="G23" s="13">
        <f>G21+G22</f>
        <v/>
      </c>
    </row>
    <row r="24" ht="14" customHeight="1"/>
    <row r="25" ht="20" customHeight="1">
      <c r="A25" s="43" t="inlineStr">
        <is>
          <t>📌 CATATAN TEKNIS &amp; SYARAT PELAKSANAAN</t>
        </is>
      </c>
      <c r="B25" s="43" t="n"/>
      <c r="C25" s="43" t="n"/>
      <c r="D25" s="43" t="n"/>
      <c r="E25" s="43" t="n"/>
      <c r="F25" s="43" t="n"/>
      <c r="G25" s="43" t="n"/>
    </row>
    <row r="26" ht="18" customHeight="1">
      <c r="A26" s="49" t="inlineStr">
        <is>
          <t>1. Regulasi Acuan: SE Ditjen Bina Konstruksi No. 47/SE/Dk/2026 (AHSP PUPR 2026).</t>
        </is>
      </c>
      <c r="B26" s="50" t="n"/>
      <c r="C26" s="50" t="n"/>
      <c r="D26" s="50" t="n"/>
      <c r="E26" s="50" t="n"/>
      <c r="F26" s="50" t="n"/>
      <c r="G26" s="50" t="n"/>
    </row>
    <row r="27" ht="18" customHeight="1">
      <c r="A27" s="49" t="inlineStr">
        <is>
          <t>2. Harga Satuan Dasar (HSD): Upah dan sewa alat mengacu pada acuan HSD standar. Wajib disesuaikan HSD Pemda setempat untuk tender resmi.</t>
        </is>
      </c>
      <c r="B27" s="50" t="n"/>
      <c r="C27" s="50" t="n"/>
      <c r="D27" s="50" t="n"/>
      <c r="E27" s="50" t="n"/>
      <c r="F27" s="50" t="n"/>
      <c r="G27" s="50" t="n"/>
    </row>
    <row r="28" ht="18" customHeight="1">
      <c r="A28" s="49" t="inlineStr">
        <is>
          <t>3. Penerapan SMKK (K3): Biaya K3 Konstruksi sebesar 2,5% diperhitungkan sesuai Permen PUPR No. 10/2021.</t>
        </is>
      </c>
      <c r="B28" s="50" t="n"/>
      <c r="C28" s="50" t="n"/>
      <c r="D28" s="50" t="n"/>
      <c r="E28" s="50" t="n"/>
      <c r="F28" s="50" t="n"/>
      <c r="G28" s="50" t="n"/>
    </row>
    <row r="29" ht="18" customHeight="1">
      <c r="A29" s="49" t="inlineStr">
        <is>
          <t>4. Pajak Pertambahan Nilai: PPN 11% dihitung dari Total Fisik + SMKK sesuai UU HPP No. 7/2021.</t>
        </is>
      </c>
      <c r="B29" s="50" t="n"/>
      <c r="C29" s="50" t="n"/>
      <c r="D29" s="50" t="n"/>
      <c r="E29" s="50" t="n"/>
      <c r="F29" s="50" t="n"/>
      <c r="G29" s="50" t="n"/>
    </row>
    <row r="30" ht="18" customHeight="1">
      <c r="A30" s="49" t="inlineStr">
        <is>
          <t>5. Komponen Angkut Limbah: Limbah kayu/ranting diangkut menggunakan armada Dump Truck (Angkut Limbah) untuk menjaga kebersihan lokasi kerja.</t>
        </is>
      </c>
      <c r="B30" s="50" t="n"/>
      <c r="C30" s="50" t="n"/>
      <c r="D30" s="50" t="n"/>
      <c r="E30" s="50" t="n"/>
      <c r="F30" s="50" t="n"/>
      <c r="G30" s="50" t="n"/>
    </row>
  </sheetData>
  <mergeCells count="17">
    <mergeCell ref="A10:F10"/>
    <mergeCell ref="A1:G1"/>
    <mergeCell ref="A19:F19"/>
    <mergeCell ref="A27:G27"/>
    <mergeCell ref="A23:F23"/>
    <mergeCell ref="A4:G4"/>
    <mergeCell ref="A26:G26"/>
    <mergeCell ref="A30:G30"/>
    <mergeCell ref="A2:G2"/>
    <mergeCell ref="A22:F22"/>
    <mergeCell ref="A18:F18"/>
    <mergeCell ref="A29:G29"/>
    <mergeCell ref="A25:G25"/>
    <mergeCell ref="A20:F20"/>
    <mergeCell ref="A21:F21"/>
    <mergeCell ref="A11:G1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2026-07-22T11:02:43Z</dcterms:created>
  <dcterms:modified xmlns:dcterms="http://purl.org/dc/terms/" xmlns:xsi="http://www.w3.org/2001/XMLSchema-instance" xsi:type="dcterms:W3CDTF">2026-07-22T11:02:43Z</dcterms:modified>
</cp:coreProperties>
</file>