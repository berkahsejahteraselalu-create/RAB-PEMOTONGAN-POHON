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ndows 11\Documents\RAB DAN MANAGEMENT KEUANGAN\"/>
    </mc:Choice>
  </mc:AlternateContent>
  <xr:revisionPtr revIDLastSave="0" documentId="13_ncr:1_{00DA31D0-0808-48CE-B224-73E500A2BBA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HSP 2026" sheetId="1" r:id="rId1"/>
    <sheet name="Rekapitulasi RA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5" i="1" l="1"/>
  <c r="F134" i="1"/>
  <c r="F133" i="1"/>
  <c r="F136" i="1" s="1"/>
  <c r="F131" i="1"/>
  <c r="F139" i="1" s="1"/>
  <c r="F130" i="1"/>
  <c r="F129" i="1"/>
  <c r="F128" i="1"/>
  <c r="F117" i="1"/>
  <c r="F116" i="1"/>
  <c r="F113" i="1"/>
  <c r="F112" i="1"/>
  <c r="F111" i="1"/>
  <c r="F114" i="1" s="1"/>
  <c r="F120" i="1" s="1"/>
  <c r="F99" i="1"/>
  <c r="F98" i="1"/>
  <c r="F97" i="1"/>
  <c r="F96" i="1"/>
  <c r="F95" i="1"/>
  <c r="F94" i="1"/>
  <c r="F93" i="1"/>
  <c r="F92" i="1"/>
  <c r="F91" i="1"/>
  <c r="F90" i="1"/>
  <c r="F100" i="1" s="1"/>
  <c r="F89" i="1"/>
  <c r="F88" i="1"/>
  <c r="F87" i="1"/>
  <c r="F84" i="1"/>
  <c r="F83" i="1"/>
  <c r="F82" i="1"/>
  <c r="F81" i="1"/>
  <c r="F85" i="1" s="1"/>
  <c r="F103" i="1" s="1"/>
  <c r="F69" i="1"/>
  <c r="F70" i="1" s="1"/>
  <c r="F66" i="1"/>
  <c r="F65" i="1"/>
  <c r="F64" i="1"/>
  <c r="F63" i="1"/>
  <c r="F67" i="1" s="1"/>
  <c r="F73" i="1" s="1"/>
  <c r="F51" i="1"/>
  <c r="F52" i="1" s="1"/>
  <c r="F48" i="1"/>
  <c r="F49" i="1" s="1"/>
  <c r="F55" i="1" s="1"/>
  <c r="F47" i="1"/>
  <c r="F46" i="1"/>
  <c r="F45" i="1"/>
  <c r="F33" i="1"/>
  <c r="F34" i="1" s="1"/>
  <c r="F30" i="1"/>
  <c r="F29" i="1"/>
  <c r="F28" i="1"/>
  <c r="F27" i="1"/>
  <c r="F31" i="1" s="1"/>
  <c r="F15" i="1"/>
  <c r="F14" i="1"/>
  <c r="F13" i="1"/>
  <c r="F12" i="1"/>
  <c r="F16" i="1" s="1"/>
  <c r="F9" i="1"/>
  <c r="F8" i="1"/>
  <c r="F7" i="1"/>
  <c r="F6" i="1"/>
  <c r="F10" i="1" s="1"/>
  <c r="F19" i="1" s="1"/>
  <c r="F140" i="1" l="1"/>
  <c r="F141" i="1"/>
  <c r="E12" i="2" s="1"/>
  <c r="F12" i="2" s="1"/>
  <c r="F121" i="1"/>
  <c r="F122" i="1" s="1"/>
  <c r="E11" i="2" s="1"/>
  <c r="F11" i="2" s="1"/>
  <c r="F104" i="1"/>
  <c r="F105" i="1" s="1"/>
  <c r="E10" i="2" s="1"/>
  <c r="F10" i="2" s="1"/>
  <c r="F74" i="1"/>
  <c r="F75" i="1" s="1"/>
  <c r="E9" i="2" s="1"/>
  <c r="F9" i="2" s="1"/>
  <c r="F56" i="1"/>
  <c r="F57" i="1"/>
  <c r="E8" i="2" s="1"/>
  <c r="F8" i="2" s="1"/>
  <c r="F20" i="1"/>
  <c r="F21" i="1" s="1"/>
  <c r="E6" i="2" s="1"/>
  <c r="F6" i="2" s="1"/>
  <c r="F37" i="1"/>
  <c r="F38" i="1" l="1"/>
  <c r="F39" i="1" s="1"/>
  <c r="E7" i="2" s="1"/>
  <c r="F7" i="2" s="1"/>
  <c r="F13" i="2" s="1"/>
  <c r="F14" i="2" l="1"/>
  <c r="F15" i="2" s="1"/>
</calcChain>
</file>

<file path=xl/sharedStrings.xml><?xml version="1.0" encoding="utf-8"?>
<sst xmlns="http://schemas.openxmlformats.org/spreadsheetml/2006/main" count="302" uniqueCount="83">
  <si>
    <t>FORMULIR ANALISA HARGA SATUAN PEKERJAAN (AHSP) 2026</t>
  </si>
  <si>
    <t>Item</t>
  </si>
  <si>
    <t>Pemasangan 1 m' kabel NYY 4 x 16 mm²</t>
  </si>
  <si>
    <t>Satuan:</t>
  </si>
  <si>
    <t>1 m'</t>
  </si>
  <si>
    <t>NO</t>
  </si>
  <si>
    <t>KOMPONEN</t>
  </si>
  <si>
    <t>SATUAN</t>
  </si>
  <si>
    <t>KOEFISIEN</t>
  </si>
  <si>
    <t>HARGA SATUAN (Rp)</t>
  </si>
  <si>
    <t>JUMLAH HARGA (Rp)</t>
  </si>
  <si>
    <t>A</t>
  </si>
  <si>
    <t>TENAGA KERJA</t>
  </si>
  <si>
    <t>Pekerja</t>
  </si>
  <si>
    <t>OH</t>
  </si>
  <si>
    <t>Tukang listrik</t>
  </si>
  <si>
    <t>Kepala tukang</t>
  </si>
  <si>
    <t>Mandor</t>
  </si>
  <si>
    <t>JUMLAH TENAGA KERJA</t>
  </si>
  <si>
    <t>B</t>
  </si>
  <si>
    <t>BAHAN</t>
  </si>
  <si>
    <t>Kabel NYY 4 x 16 mm² supreme</t>
  </si>
  <si>
    <t>m'</t>
  </si>
  <si>
    <t>Skun 16 ml + sleeve</t>
  </si>
  <si>
    <t>buah</t>
  </si>
  <si>
    <t>Nilon Cutter</t>
  </si>
  <si>
    <t>skun 16ml</t>
  </si>
  <si>
    <t>JUMLAH HARGA BAHAN</t>
  </si>
  <si>
    <t>C</t>
  </si>
  <si>
    <t>PERALATAN</t>
  </si>
  <si>
    <t>JUMLAH HARGA PERALATAN</t>
  </si>
  <si>
    <t>D</t>
  </si>
  <si>
    <t>JUMLAH HARGA TENAGA, BAHAN, DAN PERALATAN (A+B+C)</t>
  </si>
  <si>
    <t>E</t>
  </si>
  <si>
    <t>OVERHEAD &amp; PROFIT (10%)</t>
  </si>
  <si>
    <t>F</t>
  </si>
  <si>
    <t>HARGA SATUAN PEKERJAAN (D+E)</t>
  </si>
  <si>
    <t>Pemasangan 1 m' kabel NYM 2 x 2,5 mm²</t>
  </si>
  <si>
    <t>Kabel NYM 2 x 2,5 mm²</t>
  </si>
  <si>
    <t>Kabel NYY 4 x 16 mm²</t>
  </si>
  <si>
    <t>Pemasangan 1 buah Kabel Power Fire Alarm NYA 3x2x2,5 mm2</t>
  </si>
  <si>
    <t>Kepala Tukang</t>
  </si>
  <si>
    <t>Kabel NYA 3 x 2,5 mm²</t>
  </si>
  <si>
    <t>m</t>
  </si>
  <si>
    <t>Pemasangan 1 Unit MCB Box</t>
  </si>
  <si>
    <t>1 set</t>
  </si>
  <si>
    <t>Tukang Listrik</t>
  </si>
  <si>
    <t>MCB Box/panel 60x80x20</t>
  </si>
  <si>
    <t>unit</t>
  </si>
  <si>
    <t>MCB Box/panel 40x60x20</t>
  </si>
  <si>
    <t>Schneider MCCB 3 Phase (EZC 60A)</t>
  </si>
  <si>
    <t>Schneider MCCB 1 Phase (EZC 50A)</t>
  </si>
  <si>
    <t>Surge Protective Device (SPD) 3 Phase</t>
  </si>
  <si>
    <t>Copper Busbar (R-S-T-N-G)</t>
  </si>
  <si>
    <t>Digital Volt-Ampere-Hz Meter 3 Phase</t>
  </si>
  <si>
    <t>Pilot Lamp LED (Merah, Kuning, Hijau)</t>
  </si>
  <si>
    <t>Kabel Duct</t>
  </si>
  <si>
    <t>Terminal</t>
  </si>
  <si>
    <t>Din rail</t>
  </si>
  <si>
    <t>Skun</t>
  </si>
  <si>
    <t>Current transformer</t>
  </si>
  <si>
    <t>Pemasangan Downlight LED [Merk: HANNOCHS] (BASEMENT)</t>
  </si>
  <si>
    <t>1 Buah</t>
  </si>
  <si>
    <t>HANNOCHS SONIC 15 WATT</t>
  </si>
  <si>
    <t>Instalasi Stop Kontak [Merk: BROCO] + Uji Fungsi (LT 1 DAN LT 2)</t>
  </si>
  <si>
    <t>1 Titik</t>
  </si>
  <si>
    <t>Isolasi</t>
  </si>
  <si>
    <t>[Testing] Mengukur Tahanan Isolasi (Megger Test) &amp; Fungsi</t>
  </si>
  <si>
    <t>Titik</t>
  </si>
  <si>
    <t>Stop kontak tanam broco</t>
  </si>
  <si>
    <t>REKAPITULASI PENAWARAN HARGA (RAB)</t>
  </si>
  <si>
    <t>Proyek: ELEKTRIKAL PMI</t>
  </si>
  <si>
    <t>Kontraktor: Cv. Putra Sampean Dalem</t>
  </si>
  <si>
    <t>URAIAN PEKERJAAN</t>
  </si>
  <si>
    <t>VOL</t>
  </si>
  <si>
    <t>SAT</t>
  </si>
  <si>
    <t>HARGA SATUAN (RP)</t>
  </si>
  <si>
    <t>JUMLAH HARGA (RP)</t>
  </si>
  <si>
    <t>set</t>
  </si>
  <si>
    <t>Buah</t>
  </si>
  <si>
    <t>SUB TOTAL</t>
  </si>
  <si>
    <t>PAJAK PERTAMBAHAN NILAI (PPN) 11%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</si>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</sst>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4" fontId="0" fillId="0" borderId="1" xfId="0" applyNumberForma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/>
    <xf numFmtId="4" fontId="2" fillId="3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opLeftCell="A137" workbookViewId="0">
      <selection activeCell="E64" sqref="E64"/>
    </sheetView>
  </sheetViews>
  <sheetFormatPr defaultRowHeight="14.5" x14ac:dyDescent="0.35"/>
  <cols>
    <col min="1" max="1" width="5" customWidth="1"/>
    <col min="2" max="2" width="45" customWidth="1"/>
    <col min="3" max="3" width="10" customWidth="1"/>
    <col min="4" max="4" width="12" customWidth="1"/>
    <col min="5" max="5" width="15" customWidth="1"/>
    <col min="6" max="6" width="18" customWidth="1"/>
  </cols>
  <sheetData>
    <row r="1" spans="1:6" ht="18.5" x14ac:dyDescent="0.35">
      <c r="A1" s="10" t="s">
        <v>0</v>
      </c>
      <c r="B1" s="11"/>
      <c r="C1" s="11"/>
      <c r="D1" s="11"/>
      <c r="E1" s="11"/>
      <c r="F1" s="11"/>
    </row>
    <row r="3" spans="1:6" x14ac:dyDescent="0.35">
      <c r="A3" s="1" t="s">
        <v>1</v>
      </c>
      <c r="B3" s="1" t="s">
        <v>2</v>
      </c>
      <c r="E3" s="1" t="s">
        <v>3</v>
      </c>
      <c r="F3" s="1" t="s">
        <v>4</v>
      </c>
    </row>
    <row r="4" spans="1:6" x14ac:dyDescent="0.3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11</v>
      </c>
      <c r="B5" s="4" t="s">
        <v>12</v>
      </c>
      <c r="C5" s="3"/>
      <c r="D5" s="3"/>
      <c r="E5" s="3"/>
      <c r="F5" s="3"/>
    </row>
    <row r="6" spans="1:6" x14ac:dyDescent="0.35">
      <c r="A6" s="3"/>
      <c r="B6" s="3" t="s">
        <v>13</v>
      </c>
      <c r="C6" s="3" t="s">
        <v>14</v>
      </c>
      <c r="D6" s="5">
        <v>0.15</v>
      </c>
      <c r="E6" s="6">
        <v>100000</v>
      </c>
      <c r="F6" s="6">
        <f>D6*E6</f>
        <v>15000</v>
      </c>
    </row>
    <row r="7" spans="1:6" x14ac:dyDescent="0.35">
      <c r="A7" s="3"/>
      <c r="B7" s="3" t="s">
        <v>15</v>
      </c>
      <c r="C7" s="3" t="s">
        <v>14</v>
      </c>
      <c r="D7" s="5">
        <v>0.15</v>
      </c>
      <c r="E7" s="6">
        <v>145000</v>
      </c>
      <c r="F7" s="6">
        <f>D7*E7</f>
        <v>21750</v>
      </c>
    </row>
    <row r="8" spans="1:6" x14ac:dyDescent="0.35">
      <c r="A8" s="3"/>
      <c r="B8" s="3" t="s">
        <v>16</v>
      </c>
      <c r="C8" s="3" t="s">
        <v>14</v>
      </c>
      <c r="D8" s="5">
        <v>0.1</v>
      </c>
      <c r="E8" s="6">
        <v>175000</v>
      </c>
      <c r="F8" s="6">
        <f>D8*E8</f>
        <v>17500</v>
      </c>
    </row>
    <row r="9" spans="1:6" x14ac:dyDescent="0.35">
      <c r="A9" s="3"/>
      <c r="B9" s="3" t="s">
        <v>17</v>
      </c>
      <c r="C9" s="3" t="s">
        <v>14</v>
      </c>
      <c r="D9" s="5">
        <v>3.5000000000000003E-2</v>
      </c>
      <c r="E9" s="6">
        <v>200000</v>
      </c>
      <c r="F9" s="6">
        <f>D9*E9</f>
        <v>7000.0000000000009</v>
      </c>
    </row>
    <row r="10" spans="1:6" x14ac:dyDescent="0.35">
      <c r="A10" s="3"/>
      <c r="B10" s="7" t="s">
        <v>18</v>
      </c>
      <c r="C10" s="3"/>
      <c r="D10" s="3"/>
      <c r="E10" s="3"/>
      <c r="F10" s="8">
        <f>SUM(F6:F9)</f>
        <v>61250</v>
      </c>
    </row>
    <row r="11" spans="1:6" x14ac:dyDescent="0.35">
      <c r="A11" s="3" t="s">
        <v>19</v>
      </c>
      <c r="B11" s="4" t="s">
        <v>20</v>
      </c>
      <c r="C11" s="3"/>
      <c r="D11" s="3"/>
      <c r="E11" s="3"/>
      <c r="F11" s="3"/>
    </row>
    <row r="12" spans="1:6" x14ac:dyDescent="0.35">
      <c r="A12" s="3"/>
      <c r="B12" s="3" t="s">
        <v>21</v>
      </c>
      <c r="C12" s="3" t="s">
        <v>22</v>
      </c>
      <c r="D12" s="5">
        <v>1.1499999999999999</v>
      </c>
      <c r="E12" s="6">
        <v>267300</v>
      </c>
      <c r="F12" s="6">
        <f>D12*E12</f>
        <v>307395</v>
      </c>
    </row>
    <row r="13" spans="1:6" x14ac:dyDescent="0.35">
      <c r="A13" s="3"/>
      <c r="B13" s="3" t="s">
        <v>23</v>
      </c>
      <c r="C13" s="3" t="s">
        <v>24</v>
      </c>
      <c r="D13" s="5">
        <v>0.5</v>
      </c>
      <c r="E13" s="6">
        <v>7627</v>
      </c>
      <c r="F13" s="6">
        <f>D13*E13</f>
        <v>3813.5</v>
      </c>
    </row>
    <row r="14" spans="1:6" x14ac:dyDescent="0.35">
      <c r="A14" s="3"/>
      <c r="B14" s="3" t="s">
        <v>25</v>
      </c>
      <c r="C14" s="3" t="s">
        <v>24</v>
      </c>
      <c r="D14" s="5">
        <v>0.05</v>
      </c>
      <c r="E14" s="6">
        <v>33750</v>
      </c>
      <c r="F14" s="6">
        <f>D14*E14</f>
        <v>1687.5</v>
      </c>
    </row>
    <row r="15" spans="1:6" x14ac:dyDescent="0.35">
      <c r="A15" s="3"/>
      <c r="B15" s="3" t="s">
        <v>26</v>
      </c>
      <c r="C15" s="3" t="s">
        <v>24</v>
      </c>
      <c r="D15" s="5">
        <v>0.2</v>
      </c>
      <c r="E15" s="6">
        <v>5100</v>
      </c>
      <c r="F15" s="6">
        <f>D15*E15</f>
        <v>1020</v>
      </c>
    </row>
    <row r="16" spans="1:6" x14ac:dyDescent="0.35">
      <c r="A16" s="3"/>
      <c r="B16" s="7" t="s">
        <v>27</v>
      </c>
      <c r="C16" s="3"/>
      <c r="D16" s="3"/>
      <c r="E16" s="3"/>
      <c r="F16" s="8">
        <f>SUM(F12:F15)</f>
        <v>313916</v>
      </c>
    </row>
    <row r="17" spans="1:6" x14ac:dyDescent="0.35">
      <c r="A17" s="3" t="s">
        <v>28</v>
      </c>
      <c r="B17" s="4" t="s">
        <v>29</v>
      </c>
      <c r="C17" s="3"/>
      <c r="D17" s="3"/>
      <c r="E17" s="3"/>
      <c r="F17" s="3"/>
    </row>
    <row r="18" spans="1:6" x14ac:dyDescent="0.35">
      <c r="A18" s="3"/>
      <c r="B18" s="7" t="s">
        <v>30</v>
      </c>
      <c r="C18" s="3"/>
      <c r="D18" s="3"/>
      <c r="E18" s="3"/>
      <c r="F18" s="8">
        <v>0</v>
      </c>
    </row>
    <row r="19" spans="1:6" x14ac:dyDescent="0.35">
      <c r="A19" s="3" t="s">
        <v>31</v>
      </c>
      <c r="B19" s="4" t="s">
        <v>32</v>
      </c>
      <c r="C19" s="3"/>
      <c r="D19" s="3"/>
      <c r="E19" s="3"/>
      <c r="F19" s="8">
        <f>F10+F16+F18</f>
        <v>375166</v>
      </c>
    </row>
    <row r="20" spans="1:6" x14ac:dyDescent="0.35">
      <c r="A20" s="3" t="s">
        <v>33</v>
      </c>
      <c r="B20" s="4" t="s">
        <v>34</v>
      </c>
      <c r="C20" s="3"/>
      <c r="D20" s="3"/>
      <c r="E20" s="3"/>
      <c r="F20" s="8">
        <f>ROUND(F19*10%, 2)</f>
        <v>37516.6</v>
      </c>
    </row>
    <row r="21" spans="1:6" x14ac:dyDescent="0.35">
      <c r="A21" s="3" t="s">
        <v>35</v>
      </c>
      <c r="B21" s="4" t="s">
        <v>36</v>
      </c>
      <c r="C21" s="3"/>
      <c r="D21" s="3"/>
      <c r="E21" s="3"/>
      <c r="F21" s="9">
        <f>F19+F20</f>
        <v>412682.6</v>
      </c>
    </row>
    <row r="24" spans="1:6" x14ac:dyDescent="0.35">
      <c r="A24" s="1" t="s">
        <v>1</v>
      </c>
      <c r="B24" s="1" t="s">
        <v>37</v>
      </c>
      <c r="E24" s="1" t="s">
        <v>3</v>
      </c>
      <c r="F24" s="1" t="s">
        <v>4</v>
      </c>
    </row>
    <row r="25" spans="1:6" x14ac:dyDescent="0.35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</row>
    <row r="26" spans="1:6" x14ac:dyDescent="0.35">
      <c r="A26" s="3" t="s">
        <v>11</v>
      </c>
      <c r="B26" s="4" t="s">
        <v>12</v>
      </c>
      <c r="C26" s="3"/>
      <c r="D26" s="3"/>
      <c r="E26" s="3"/>
      <c r="F26" s="3"/>
    </row>
    <row r="27" spans="1:6" x14ac:dyDescent="0.35">
      <c r="A27" s="3"/>
      <c r="B27" s="3" t="s">
        <v>13</v>
      </c>
      <c r="C27" s="3" t="s">
        <v>14</v>
      </c>
      <c r="D27" s="5">
        <v>2.4E-2</v>
      </c>
      <c r="E27" s="6">
        <v>100000</v>
      </c>
      <c r="F27" s="6">
        <f>D27*E27</f>
        <v>2400</v>
      </c>
    </row>
    <row r="28" spans="1:6" x14ac:dyDescent="0.35">
      <c r="A28" s="3"/>
      <c r="B28" s="3" t="s">
        <v>15</v>
      </c>
      <c r="C28" s="3" t="s">
        <v>14</v>
      </c>
      <c r="D28" s="5">
        <v>0.04</v>
      </c>
      <c r="E28" s="6">
        <v>145000</v>
      </c>
      <c r="F28" s="6">
        <f>D28*E28</f>
        <v>5800</v>
      </c>
    </row>
    <row r="29" spans="1:6" x14ac:dyDescent="0.35">
      <c r="A29" s="3"/>
      <c r="B29" s="3" t="s">
        <v>16</v>
      </c>
      <c r="C29" s="3" t="s">
        <v>14</v>
      </c>
      <c r="D29" s="5">
        <v>4.0000000000000001E-3</v>
      </c>
      <c r="E29" s="6">
        <v>175000</v>
      </c>
      <c r="F29" s="6">
        <f>D29*E29</f>
        <v>700</v>
      </c>
    </row>
    <row r="30" spans="1:6" x14ac:dyDescent="0.35">
      <c r="A30" s="3"/>
      <c r="B30" s="3" t="s">
        <v>17</v>
      </c>
      <c r="C30" s="3" t="s">
        <v>14</v>
      </c>
      <c r="D30" s="5">
        <v>2E-3</v>
      </c>
      <c r="E30" s="6">
        <v>200000</v>
      </c>
      <c r="F30" s="6">
        <f>D30*E30</f>
        <v>400</v>
      </c>
    </row>
    <row r="31" spans="1:6" x14ac:dyDescent="0.35">
      <c r="A31" s="3"/>
      <c r="B31" s="7" t="s">
        <v>18</v>
      </c>
      <c r="C31" s="3"/>
      <c r="D31" s="3"/>
      <c r="E31" s="3"/>
      <c r="F31" s="8">
        <f>SUM(F27:F30)</f>
        <v>9300</v>
      </c>
    </row>
    <row r="32" spans="1:6" x14ac:dyDescent="0.35">
      <c r="A32" s="3" t="s">
        <v>19</v>
      </c>
      <c r="B32" s="4" t="s">
        <v>20</v>
      </c>
      <c r="C32" s="3"/>
      <c r="D32" s="3"/>
      <c r="E32" s="3"/>
      <c r="F32" s="3"/>
    </row>
    <row r="33" spans="1:6" x14ac:dyDescent="0.35">
      <c r="A33" s="3"/>
      <c r="B33" s="3" t="s">
        <v>38</v>
      </c>
      <c r="C33" s="3" t="s">
        <v>22</v>
      </c>
      <c r="D33" s="5">
        <v>1.2</v>
      </c>
      <c r="E33" s="6">
        <v>26326</v>
      </c>
      <c r="F33" s="6">
        <f>D33*E33</f>
        <v>31591.199999999997</v>
      </c>
    </row>
    <row r="34" spans="1:6" x14ac:dyDescent="0.35">
      <c r="A34" s="3"/>
      <c r="B34" s="7" t="s">
        <v>27</v>
      </c>
      <c r="C34" s="3"/>
      <c r="D34" s="3"/>
      <c r="E34" s="3"/>
      <c r="F34" s="8">
        <f>SUM(F33:F33)</f>
        <v>31591.199999999997</v>
      </c>
    </row>
    <row r="35" spans="1:6" x14ac:dyDescent="0.35">
      <c r="A35" s="3" t="s">
        <v>28</v>
      </c>
      <c r="B35" s="4" t="s">
        <v>29</v>
      </c>
      <c r="C35" s="3"/>
      <c r="D35" s="3"/>
      <c r="E35" s="3"/>
      <c r="F35" s="3"/>
    </row>
    <row r="36" spans="1:6" x14ac:dyDescent="0.35">
      <c r="A36" s="3"/>
      <c r="B36" s="7" t="s">
        <v>30</v>
      </c>
      <c r="C36" s="3"/>
      <c r="D36" s="3"/>
      <c r="E36" s="3"/>
      <c r="F36" s="8">
        <v>0</v>
      </c>
    </row>
    <row r="37" spans="1:6" x14ac:dyDescent="0.35">
      <c r="A37" s="3" t="s">
        <v>31</v>
      </c>
      <c r="B37" s="4" t="s">
        <v>32</v>
      </c>
      <c r="C37" s="3"/>
      <c r="D37" s="3"/>
      <c r="E37" s="3"/>
      <c r="F37" s="8">
        <f>F31+F34+F36</f>
        <v>40891.199999999997</v>
      </c>
    </row>
    <row r="38" spans="1:6" x14ac:dyDescent="0.35">
      <c r="A38" s="3" t="s">
        <v>33</v>
      </c>
      <c r="B38" s="4" t="s">
        <v>34</v>
      </c>
      <c r="C38" s="3"/>
      <c r="D38" s="3"/>
      <c r="E38" s="3"/>
      <c r="F38" s="8">
        <f>ROUND(F37*10%, 2)</f>
        <v>4089.12</v>
      </c>
    </row>
    <row r="39" spans="1:6" x14ac:dyDescent="0.35">
      <c r="A39" s="3" t="s">
        <v>35</v>
      </c>
      <c r="B39" s="4" t="s">
        <v>36</v>
      </c>
      <c r="C39" s="3"/>
      <c r="D39" s="3"/>
      <c r="E39" s="3"/>
      <c r="F39" s="9">
        <f>F37+F38</f>
        <v>44980.32</v>
      </c>
    </row>
    <row r="42" spans="1:6" x14ac:dyDescent="0.35">
      <c r="A42" s="1" t="s">
        <v>1</v>
      </c>
      <c r="B42" s="1" t="s">
        <v>2</v>
      </c>
      <c r="E42" s="1" t="s">
        <v>3</v>
      </c>
      <c r="F42" s="1" t="s">
        <v>4</v>
      </c>
    </row>
    <row r="43" spans="1:6" x14ac:dyDescent="0.35">
      <c r="A43" s="2" t="s">
        <v>5</v>
      </c>
      <c r="B43" s="2" t="s">
        <v>6</v>
      </c>
      <c r="C43" s="2" t="s">
        <v>7</v>
      </c>
      <c r="D43" s="2" t="s">
        <v>8</v>
      </c>
      <c r="E43" s="2" t="s">
        <v>9</v>
      </c>
      <c r="F43" s="2" t="s">
        <v>10</v>
      </c>
    </row>
    <row r="44" spans="1:6" x14ac:dyDescent="0.35">
      <c r="A44" s="3" t="s">
        <v>11</v>
      </c>
      <c r="B44" s="4" t="s">
        <v>12</v>
      </c>
      <c r="C44" s="3"/>
      <c r="D44" s="3"/>
      <c r="E44" s="3"/>
      <c r="F44" s="3"/>
    </row>
    <row r="45" spans="1:6" x14ac:dyDescent="0.35">
      <c r="A45" s="3"/>
      <c r="B45" s="3" t="s">
        <v>13</v>
      </c>
      <c r="C45" s="3" t="s">
        <v>14</v>
      </c>
      <c r="D45" s="5">
        <v>0.16666666666666671</v>
      </c>
      <c r="E45" s="6">
        <v>100000</v>
      </c>
      <c r="F45" s="6">
        <f>D45*E45</f>
        <v>16666.666666666672</v>
      </c>
    </row>
    <row r="46" spans="1:6" x14ac:dyDescent="0.35">
      <c r="A46" s="3"/>
      <c r="B46" s="3" t="s">
        <v>15</v>
      </c>
      <c r="C46" s="3" t="s">
        <v>14</v>
      </c>
      <c r="D46" s="5">
        <v>0.16666666666666671</v>
      </c>
      <c r="E46" s="6">
        <v>145000</v>
      </c>
      <c r="F46" s="6">
        <f>D46*E46</f>
        <v>24166.666666666675</v>
      </c>
    </row>
    <row r="47" spans="1:6" x14ac:dyDescent="0.35">
      <c r="A47" s="3"/>
      <c r="B47" s="3" t="s">
        <v>16</v>
      </c>
      <c r="C47" s="3" t="s">
        <v>14</v>
      </c>
      <c r="D47" s="5">
        <v>8.3333333333333329E-2</v>
      </c>
      <c r="E47" s="6">
        <v>175000</v>
      </c>
      <c r="F47" s="6">
        <f>D47*E47</f>
        <v>14583.333333333332</v>
      </c>
    </row>
    <row r="48" spans="1:6" x14ac:dyDescent="0.35">
      <c r="A48" s="3"/>
      <c r="B48" s="3" t="s">
        <v>17</v>
      </c>
      <c r="C48" s="3" t="s">
        <v>14</v>
      </c>
      <c r="D48" s="5">
        <v>1.666666666666667E-3</v>
      </c>
      <c r="E48" s="6">
        <v>200000</v>
      </c>
      <c r="F48" s="6">
        <f>D48*E48</f>
        <v>333.33333333333337</v>
      </c>
    </row>
    <row r="49" spans="1:6" x14ac:dyDescent="0.35">
      <c r="A49" s="3"/>
      <c r="B49" s="7" t="s">
        <v>18</v>
      </c>
      <c r="C49" s="3"/>
      <c r="D49" s="3"/>
      <c r="E49" s="3"/>
      <c r="F49" s="8">
        <f>SUM(F45:F48)</f>
        <v>55750.000000000007</v>
      </c>
    </row>
    <row r="50" spans="1:6" x14ac:dyDescent="0.35">
      <c r="A50" s="3" t="s">
        <v>19</v>
      </c>
      <c r="B50" s="4" t="s">
        <v>20</v>
      </c>
      <c r="C50" s="3"/>
      <c r="D50" s="3"/>
      <c r="E50" s="3"/>
      <c r="F50" s="3"/>
    </row>
    <row r="51" spans="1:6" x14ac:dyDescent="0.35">
      <c r="A51" s="3"/>
      <c r="B51" s="3" t="s">
        <v>39</v>
      </c>
      <c r="C51" s="3" t="s">
        <v>22</v>
      </c>
      <c r="D51" s="5">
        <v>1.25</v>
      </c>
      <c r="E51" s="6">
        <v>270000</v>
      </c>
      <c r="F51" s="6">
        <f>D51*E51</f>
        <v>337500</v>
      </c>
    </row>
    <row r="52" spans="1:6" x14ac:dyDescent="0.35">
      <c r="A52" s="3"/>
      <c r="B52" s="7" t="s">
        <v>27</v>
      </c>
      <c r="C52" s="3"/>
      <c r="D52" s="3"/>
      <c r="E52" s="3"/>
      <c r="F52" s="8">
        <f>SUM(F51:F51)</f>
        <v>337500</v>
      </c>
    </row>
    <row r="53" spans="1:6" x14ac:dyDescent="0.35">
      <c r="A53" s="3" t="s">
        <v>28</v>
      </c>
      <c r="B53" s="4" t="s">
        <v>29</v>
      </c>
      <c r="C53" s="3"/>
      <c r="D53" s="3"/>
      <c r="E53" s="3"/>
      <c r="F53" s="3"/>
    </row>
    <row r="54" spans="1:6" x14ac:dyDescent="0.35">
      <c r="A54" s="3"/>
      <c r="B54" s="7" t="s">
        <v>30</v>
      </c>
      <c r="C54" s="3"/>
      <c r="D54" s="3"/>
      <c r="E54" s="3"/>
      <c r="F54" s="8">
        <v>0</v>
      </c>
    </row>
    <row r="55" spans="1:6" x14ac:dyDescent="0.35">
      <c r="A55" s="3" t="s">
        <v>31</v>
      </c>
      <c r="B55" s="4" t="s">
        <v>32</v>
      </c>
      <c r="C55" s="3"/>
      <c r="D55" s="3"/>
      <c r="E55" s="3"/>
      <c r="F55" s="8">
        <f>F49+F52+F54</f>
        <v>393250</v>
      </c>
    </row>
    <row r="56" spans="1:6" x14ac:dyDescent="0.35">
      <c r="A56" s="3" t="s">
        <v>33</v>
      </c>
      <c r="B56" s="4" t="s">
        <v>34</v>
      </c>
      <c r="C56" s="3"/>
      <c r="D56" s="3"/>
      <c r="E56" s="3"/>
      <c r="F56" s="8">
        <f>ROUND(F55*10%, 2)</f>
        <v>39325</v>
      </c>
    </row>
    <row r="57" spans="1:6" x14ac:dyDescent="0.35">
      <c r="A57" s="3" t="s">
        <v>35</v>
      </c>
      <c r="B57" s="4" t="s">
        <v>36</v>
      </c>
      <c r="C57" s="3"/>
      <c r="D57" s="3"/>
      <c r="E57" s="3"/>
      <c r="F57" s="9">
        <f>F55+F56</f>
        <v>432575</v>
      </c>
    </row>
    <row r="60" spans="1:6" x14ac:dyDescent="0.35">
      <c r="A60" s="1" t="s">
        <v>1</v>
      </c>
      <c r="B60" s="1" t="s">
        <v>40</v>
      </c>
      <c r="E60" s="1" t="s">
        <v>3</v>
      </c>
      <c r="F60" s="1" t="s">
        <v>4</v>
      </c>
    </row>
    <row r="61" spans="1:6" x14ac:dyDescent="0.35">
      <c r="A61" s="2" t="s">
        <v>5</v>
      </c>
      <c r="B61" s="2" t="s">
        <v>6</v>
      </c>
      <c r="C61" s="2" t="s">
        <v>7</v>
      </c>
      <c r="D61" s="2" t="s">
        <v>8</v>
      </c>
      <c r="E61" s="2" t="s">
        <v>9</v>
      </c>
      <c r="F61" s="2" t="s">
        <v>10</v>
      </c>
    </row>
    <row r="62" spans="1:6" x14ac:dyDescent="0.35">
      <c r="A62" s="3" t="s">
        <v>11</v>
      </c>
      <c r="B62" s="4" t="s">
        <v>12</v>
      </c>
      <c r="C62" s="3"/>
      <c r="D62" s="3"/>
      <c r="E62" s="3"/>
      <c r="F62" s="3"/>
    </row>
    <row r="63" spans="1:6" x14ac:dyDescent="0.35">
      <c r="A63" s="3"/>
      <c r="B63" s="3" t="s">
        <v>13</v>
      </c>
      <c r="C63" s="3" t="s">
        <v>14</v>
      </c>
      <c r="D63" s="5">
        <v>0.11</v>
      </c>
      <c r="E63" s="6">
        <v>100000</v>
      </c>
      <c r="F63" s="6">
        <f>D63*E63</f>
        <v>11000</v>
      </c>
    </row>
    <row r="64" spans="1:6" x14ac:dyDescent="0.35">
      <c r="A64" s="3"/>
      <c r="B64" s="3" t="s">
        <v>15</v>
      </c>
      <c r="C64" s="3" t="s">
        <v>14</v>
      </c>
      <c r="D64" s="5">
        <v>0.11</v>
      </c>
      <c r="E64" s="6">
        <v>145000</v>
      </c>
      <c r="F64" s="6">
        <f>D64*E64</f>
        <v>15950</v>
      </c>
    </row>
    <row r="65" spans="1:6" x14ac:dyDescent="0.35">
      <c r="A65" s="3"/>
      <c r="B65" s="3" t="s">
        <v>41</v>
      </c>
      <c r="C65" s="3" t="s">
        <v>14</v>
      </c>
      <c r="D65" s="5">
        <v>0.05</v>
      </c>
      <c r="E65" s="6">
        <v>175000</v>
      </c>
      <c r="F65" s="6">
        <f>D65*E65</f>
        <v>8750</v>
      </c>
    </row>
    <row r="66" spans="1:6" x14ac:dyDescent="0.35">
      <c r="A66" s="3"/>
      <c r="B66" s="3" t="s">
        <v>17</v>
      </c>
      <c r="C66" s="3" t="s">
        <v>14</v>
      </c>
      <c r="D66" s="5">
        <v>2.3E-2</v>
      </c>
      <c r="E66" s="6">
        <v>200000</v>
      </c>
      <c r="F66" s="6">
        <f>D66*E66</f>
        <v>4600</v>
      </c>
    </row>
    <row r="67" spans="1:6" x14ac:dyDescent="0.35">
      <c r="A67" s="3"/>
      <c r="B67" s="7" t="s">
        <v>18</v>
      </c>
      <c r="C67" s="3"/>
      <c r="D67" s="3"/>
      <c r="E67" s="3"/>
      <c r="F67" s="8">
        <f>SUM(F63:F66)</f>
        <v>40300</v>
      </c>
    </row>
    <row r="68" spans="1:6" x14ac:dyDescent="0.35">
      <c r="A68" s="3" t="s">
        <v>19</v>
      </c>
      <c r="B68" s="4" t="s">
        <v>20</v>
      </c>
      <c r="C68" s="3"/>
      <c r="D68" s="3"/>
      <c r="E68" s="3"/>
      <c r="F68" s="3"/>
    </row>
    <row r="69" spans="1:6" x14ac:dyDescent="0.35">
      <c r="A69" s="3"/>
      <c r="B69" s="3" t="s">
        <v>42</v>
      </c>
      <c r="C69" s="3" t="s">
        <v>43</v>
      </c>
      <c r="D69" s="5">
        <v>1.1499999999999999</v>
      </c>
      <c r="E69" s="6">
        <v>33750</v>
      </c>
      <c r="F69" s="6">
        <f>D69*E69</f>
        <v>38812.5</v>
      </c>
    </row>
    <row r="70" spans="1:6" x14ac:dyDescent="0.35">
      <c r="A70" s="3"/>
      <c r="B70" s="7" t="s">
        <v>27</v>
      </c>
      <c r="C70" s="3"/>
      <c r="D70" s="3"/>
      <c r="E70" s="3"/>
      <c r="F70" s="8">
        <f>SUM(F69:F69)</f>
        <v>38812.5</v>
      </c>
    </row>
    <row r="71" spans="1:6" x14ac:dyDescent="0.35">
      <c r="A71" s="3" t="s">
        <v>28</v>
      </c>
      <c r="B71" s="4" t="s">
        <v>29</v>
      </c>
      <c r="C71" s="3"/>
      <c r="D71" s="3"/>
      <c r="E71" s="3"/>
      <c r="F71" s="3"/>
    </row>
    <row r="72" spans="1:6" x14ac:dyDescent="0.35">
      <c r="A72" s="3"/>
      <c r="B72" s="7" t="s">
        <v>30</v>
      </c>
      <c r="C72" s="3"/>
      <c r="D72" s="3"/>
      <c r="E72" s="3"/>
      <c r="F72" s="8">
        <v>0</v>
      </c>
    </row>
    <row r="73" spans="1:6" x14ac:dyDescent="0.35">
      <c r="A73" s="3" t="s">
        <v>31</v>
      </c>
      <c r="B73" s="4" t="s">
        <v>32</v>
      </c>
      <c r="C73" s="3"/>
      <c r="D73" s="3"/>
      <c r="E73" s="3"/>
      <c r="F73" s="8">
        <f>F67+F70+F72</f>
        <v>79112.5</v>
      </c>
    </row>
    <row r="74" spans="1:6" x14ac:dyDescent="0.35">
      <c r="A74" s="3" t="s">
        <v>33</v>
      </c>
      <c r="B74" s="4" t="s">
        <v>34</v>
      </c>
      <c r="C74" s="3"/>
      <c r="D74" s="3"/>
      <c r="E74" s="3"/>
      <c r="F74" s="8">
        <f>ROUND(F73*10%, 2)</f>
        <v>7911.25</v>
      </c>
    </row>
    <row r="75" spans="1:6" x14ac:dyDescent="0.35">
      <c r="A75" s="3" t="s">
        <v>35</v>
      </c>
      <c r="B75" s="4" t="s">
        <v>36</v>
      </c>
      <c r="C75" s="3"/>
      <c r="D75" s="3"/>
      <c r="E75" s="3"/>
      <c r="F75" s="9">
        <f>F73+F74</f>
        <v>87023.75</v>
      </c>
    </row>
    <row r="78" spans="1:6" x14ac:dyDescent="0.35">
      <c r="A78" s="1" t="s">
        <v>1</v>
      </c>
      <c r="B78" s="1" t="s">
        <v>44</v>
      </c>
      <c r="E78" s="1" t="s">
        <v>3</v>
      </c>
      <c r="F78" s="1" t="s">
        <v>45</v>
      </c>
    </row>
    <row r="79" spans="1:6" x14ac:dyDescent="0.35">
      <c r="A79" s="2" t="s">
        <v>5</v>
      </c>
      <c r="B79" s="2" t="s">
        <v>6</v>
      </c>
      <c r="C79" s="2" t="s">
        <v>7</v>
      </c>
      <c r="D79" s="2" t="s">
        <v>8</v>
      </c>
      <c r="E79" s="2" t="s">
        <v>9</v>
      </c>
      <c r="F79" s="2" t="s">
        <v>10</v>
      </c>
    </row>
    <row r="80" spans="1:6" x14ac:dyDescent="0.35">
      <c r="A80" s="3" t="s">
        <v>11</v>
      </c>
      <c r="B80" s="4" t="s">
        <v>12</v>
      </c>
      <c r="C80" s="3"/>
      <c r="D80" s="3"/>
      <c r="E80" s="3"/>
      <c r="F80" s="3"/>
    </row>
    <row r="81" spans="1:6" x14ac:dyDescent="0.35">
      <c r="A81" s="3"/>
      <c r="B81" s="3" t="s">
        <v>13</v>
      </c>
      <c r="C81" s="3" t="s">
        <v>14</v>
      </c>
      <c r="D81" s="5">
        <v>0.755</v>
      </c>
      <c r="E81" s="6">
        <v>100000</v>
      </c>
      <c r="F81" s="6">
        <f>D81*E81</f>
        <v>75500</v>
      </c>
    </row>
    <row r="82" spans="1:6" x14ac:dyDescent="0.35">
      <c r="A82" s="3"/>
      <c r="B82" s="3" t="s">
        <v>46</v>
      </c>
      <c r="C82" s="3" t="s">
        <v>14</v>
      </c>
      <c r="D82" s="5">
        <v>2.5</v>
      </c>
      <c r="E82" s="6">
        <v>145000</v>
      </c>
      <c r="F82" s="6">
        <f>D82*E82</f>
        <v>362500</v>
      </c>
    </row>
    <row r="83" spans="1:6" x14ac:dyDescent="0.35">
      <c r="A83" s="3"/>
      <c r="B83" s="3" t="s">
        <v>16</v>
      </c>
      <c r="C83" s="3" t="s">
        <v>14</v>
      </c>
      <c r="D83" s="5">
        <v>0.54</v>
      </c>
      <c r="E83" s="6">
        <v>175000</v>
      </c>
      <c r="F83" s="6">
        <f>D83*E83</f>
        <v>94500</v>
      </c>
    </row>
    <row r="84" spans="1:6" x14ac:dyDescent="0.35">
      <c r="A84" s="3"/>
      <c r="B84" s="3" t="s">
        <v>17</v>
      </c>
      <c r="C84" s="3" t="s">
        <v>14</v>
      </c>
      <c r="D84" s="5">
        <v>0.22500000000000001</v>
      </c>
      <c r="E84" s="6">
        <v>200000</v>
      </c>
      <c r="F84" s="6">
        <f>D84*E84</f>
        <v>45000</v>
      </c>
    </row>
    <row r="85" spans="1:6" x14ac:dyDescent="0.35">
      <c r="A85" s="3"/>
      <c r="B85" s="7" t="s">
        <v>18</v>
      </c>
      <c r="C85" s="3"/>
      <c r="D85" s="3"/>
      <c r="E85" s="3"/>
      <c r="F85" s="8">
        <f>SUM(F81:F84)</f>
        <v>577500</v>
      </c>
    </row>
    <row r="86" spans="1:6" x14ac:dyDescent="0.35">
      <c r="A86" s="3" t="s">
        <v>19</v>
      </c>
      <c r="B86" s="4" t="s">
        <v>20</v>
      </c>
      <c r="C86" s="3"/>
      <c r="D86" s="3"/>
      <c r="E86" s="3"/>
      <c r="F86" s="3"/>
    </row>
    <row r="87" spans="1:6" x14ac:dyDescent="0.35">
      <c r="A87" s="3"/>
      <c r="B87" s="3" t="s">
        <v>47</v>
      </c>
      <c r="C87" s="3" t="s">
        <v>48</v>
      </c>
      <c r="D87" s="5">
        <v>0.5</v>
      </c>
      <c r="E87" s="6">
        <v>1320000</v>
      </c>
      <c r="F87" s="6">
        <f t="shared" ref="F87:F99" si="0">D87*E87</f>
        <v>660000</v>
      </c>
    </row>
    <row r="88" spans="1:6" x14ac:dyDescent="0.35">
      <c r="A88" s="3"/>
      <c r="B88" s="3" t="s">
        <v>49</v>
      </c>
      <c r="C88" s="3" t="s">
        <v>48</v>
      </c>
      <c r="D88" s="5">
        <v>0.5</v>
      </c>
      <c r="E88" s="6">
        <v>665000</v>
      </c>
      <c r="F88" s="6">
        <f t="shared" si="0"/>
        <v>332500</v>
      </c>
    </row>
    <row r="89" spans="1:6" x14ac:dyDescent="0.35">
      <c r="A89" s="3"/>
      <c r="B89" s="3" t="s">
        <v>50</v>
      </c>
      <c r="C89" s="3" t="s">
        <v>48</v>
      </c>
      <c r="D89" s="5">
        <v>1</v>
      </c>
      <c r="E89" s="6">
        <v>810000</v>
      </c>
      <c r="F89" s="6">
        <f t="shared" si="0"/>
        <v>810000</v>
      </c>
    </row>
    <row r="90" spans="1:6" x14ac:dyDescent="0.35">
      <c r="A90" s="3"/>
      <c r="B90" s="3" t="s">
        <v>51</v>
      </c>
      <c r="C90" s="3" t="s">
        <v>48</v>
      </c>
      <c r="D90" s="5">
        <v>1</v>
      </c>
      <c r="E90" s="6">
        <v>520000</v>
      </c>
      <c r="F90" s="6">
        <f t="shared" si="0"/>
        <v>520000</v>
      </c>
    </row>
    <row r="91" spans="1:6" x14ac:dyDescent="0.35">
      <c r="A91" s="3"/>
      <c r="B91" s="3" t="s">
        <v>52</v>
      </c>
      <c r="C91" s="3" t="s">
        <v>48</v>
      </c>
      <c r="D91" s="5">
        <v>1</v>
      </c>
      <c r="E91" s="6">
        <v>2970000</v>
      </c>
      <c r="F91" s="6">
        <f t="shared" si="0"/>
        <v>2970000</v>
      </c>
    </row>
    <row r="92" spans="1:6" x14ac:dyDescent="0.35">
      <c r="A92" s="3"/>
      <c r="B92" s="3" t="s">
        <v>53</v>
      </c>
      <c r="C92" s="3" t="s">
        <v>48</v>
      </c>
      <c r="D92" s="5">
        <v>4</v>
      </c>
      <c r="E92" s="6">
        <v>265000</v>
      </c>
      <c r="F92" s="6">
        <f t="shared" si="0"/>
        <v>1060000</v>
      </c>
    </row>
    <row r="93" spans="1:6" x14ac:dyDescent="0.35">
      <c r="A93" s="3"/>
      <c r="B93" s="3" t="s">
        <v>54</v>
      </c>
      <c r="C93" s="3" t="s">
        <v>48</v>
      </c>
      <c r="D93" s="5">
        <v>1</v>
      </c>
      <c r="E93" s="6">
        <v>350000</v>
      </c>
      <c r="F93" s="6">
        <f t="shared" si="0"/>
        <v>350000</v>
      </c>
    </row>
    <row r="94" spans="1:6" x14ac:dyDescent="0.35">
      <c r="A94" s="3"/>
      <c r="B94" s="3" t="s">
        <v>55</v>
      </c>
      <c r="C94" s="3" t="s">
        <v>48</v>
      </c>
      <c r="D94" s="5">
        <v>0.5</v>
      </c>
      <c r="E94" s="6">
        <v>325000</v>
      </c>
      <c r="F94" s="6">
        <f t="shared" si="0"/>
        <v>162500</v>
      </c>
    </row>
    <row r="95" spans="1:6" x14ac:dyDescent="0.35">
      <c r="A95" s="3"/>
      <c r="B95" s="3" t="s">
        <v>56</v>
      </c>
      <c r="C95" s="3" t="s">
        <v>43</v>
      </c>
      <c r="D95" s="5">
        <v>2</v>
      </c>
      <c r="E95" s="6">
        <v>35000</v>
      </c>
      <c r="F95" s="6">
        <f t="shared" si="0"/>
        <v>70000</v>
      </c>
    </row>
    <row r="96" spans="1:6" x14ac:dyDescent="0.35">
      <c r="A96" s="3"/>
      <c r="B96" s="3" t="s">
        <v>57</v>
      </c>
      <c r="C96" s="3" t="s">
        <v>48</v>
      </c>
      <c r="D96" s="5">
        <v>1</v>
      </c>
      <c r="E96" s="6">
        <v>15000</v>
      </c>
      <c r="F96" s="6">
        <f t="shared" si="0"/>
        <v>15000</v>
      </c>
    </row>
    <row r="97" spans="1:6" x14ac:dyDescent="0.35">
      <c r="A97" s="3"/>
      <c r="B97" s="3" t="s">
        <v>58</v>
      </c>
      <c r="C97" s="3" t="s">
        <v>43</v>
      </c>
      <c r="D97" s="5">
        <v>1</v>
      </c>
      <c r="E97" s="6">
        <v>35000</v>
      </c>
      <c r="F97" s="6">
        <f t="shared" si="0"/>
        <v>35000</v>
      </c>
    </row>
    <row r="98" spans="1:6" x14ac:dyDescent="0.35">
      <c r="A98" s="3"/>
      <c r="B98" s="3" t="s">
        <v>59</v>
      </c>
      <c r="C98" s="3" t="s">
        <v>48</v>
      </c>
      <c r="D98" s="5">
        <v>10</v>
      </c>
      <c r="E98" s="6">
        <v>6000</v>
      </c>
      <c r="F98" s="6">
        <f t="shared" si="0"/>
        <v>60000</v>
      </c>
    </row>
    <row r="99" spans="1:6" x14ac:dyDescent="0.35">
      <c r="A99" s="3"/>
      <c r="B99" s="3" t="s">
        <v>60</v>
      </c>
      <c r="C99" s="3" t="s">
        <v>48</v>
      </c>
      <c r="D99" s="5">
        <v>1.5</v>
      </c>
      <c r="E99" s="6">
        <v>377500</v>
      </c>
      <c r="F99" s="6">
        <f t="shared" si="0"/>
        <v>566250</v>
      </c>
    </row>
    <row r="100" spans="1:6" x14ac:dyDescent="0.35">
      <c r="A100" s="3"/>
      <c r="B100" s="7" t="s">
        <v>27</v>
      </c>
      <c r="C100" s="3"/>
      <c r="D100" s="3"/>
      <c r="E100" s="3"/>
      <c r="F100" s="8">
        <f>SUM(F87:F99)</f>
        <v>7611250</v>
      </c>
    </row>
    <row r="101" spans="1:6" x14ac:dyDescent="0.35">
      <c r="A101" s="3" t="s">
        <v>28</v>
      </c>
      <c r="B101" s="4" t="s">
        <v>29</v>
      </c>
      <c r="C101" s="3"/>
      <c r="D101" s="3"/>
      <c r="E101" s="3"/>
      <c r="F101" s="3"/>
    </row>
    <row r="102" spans="1:6" x14ac:dyDescent="0.35">
      <c r="A102" s="3"/>
      <c r="B102" s="7" t="s">
        <v>30</v>
      </c>
      <c r="C102" s="3"/>
      <c r="D102" s="3"/>
      <c r="E102" s="3"/>
      <c r="F102" s="8">
        <v>0</v>
      </c>
    </row>
    <row r="103" spans="1:6" x14ac:dyDescent="0.35">
      <c r="A103" s="3" t="s">
        <v>31</v>
      </c>
      <c r="B103" s="4" t="s">
        <v>32</v>
      </c>
      <c r="C103" s="3"/>
      <c r="D103" s="3"/>
      <c r="E103" s="3"/>
      <c r="F103" s="8">
        <f>F85+F100+F102</f>
        <v>8188750</v>
      </c>
    </row>
    <row r="104" spans="1:6" x14ac:dyDescent="0.35">
      <c r="A104" s="3" t="s">
        <v>33</v>
      </c>
      <c r="B104" s="4" t="s">
        <v>34</v>
      </c>
      <c r="C104" s="3"/>
      <c r="D104" s="3"/>
      <c r="E104" s="3"/>
      <c r="F104" s="8">
        <f>ROUND(F103*10%, 2)</f>
        <v>818875</v>
      </c>
    </row>
    <row r="105" spans="1:6" x14ac:dyDescent="0.35">
      <c r="A105" s="3" t="s">
        <v>35</v>
      </c>
      <c r="B105" s="4" t="s">
        <v>36</v>
      </c>
      <c r="C105" s="3"/>
      <c r="D105" s="3"/>
      <c r="E105" s="3"/>
      <c r="F105" s="9">
        <f>F103+F104</f>
        <v>9007625</v>
      </c>
    </row>
    <row r="108" spans="1:6" x14ac:dyDescent="0.35">
      <c r="A108" s="1" t="s">
        <v>1</v>
      </c>
      <c r="B108" s="1" t="s">
        <v>61</v>
      </c>
      <c r="E108" s="1" t="s">
        <v>3</v>
      </c>
      <c r="F108" s="1" t="s">
        <v>62</v>
      </c>
    </row>
    <row r="109" spans="1:6" x14ac:dyDescent="0.35">
      <c r="A109" s="2" t="s">
        <v>5</v>
      </c>
      <c r="B109" s="2" t="s">
        <v>6</v>
      </c>
      <c r="C109" s="2" t="s">
        <v>7</v>
      </c>
      <c r="D109" s="2" t="s">
        <v>8</v>
      </c>
      <c r="E109" s="2" t="s">
        <v>9</v>
      </c>
      <c r="F109" s="2" t="s">
        <v>10</v>
      </c>
    </row>
    <row r="110" spans="1:6" x14ac:dyDescent="0.35">
      <c r="A110" s="3" t="s">
        <v>11</v>
      </c>
      <c r="B110" s="4" t="s">
        <v>12</v>
      </c>
      <c r="C110" s="3"/>
      <c r="D110" s="3"/>
      <c r="E110" s="3"/>
      <c r="F110" s="3"/>
    </row>
    <row r="111" spans="1:6" x14ac:dyDescent="0.35">
      <c r="A111" s="3"/>
      <c r="B111" s="3" t="s">
        <v>13</v>
      </c>
      <c r="C111" s="3" t="s">
        <v>14</v>
      </c>
      <c r="D111" s="5">
        <v>0.2105263157894737</v>
      </c>
      <c r="E111" s="6">
        <v>95000</v>
      </c>
      <c r="F111" s="6">
        <f>D111*E111</f>
        <v>20000</v>
      </c>
    </row>
    <row r="112" spans="1:6" x14ac:dyDescent="0.35">
      <c r="A112" s="3"/>
      <c r="B112" s="3" t="s">
        <v>16</v>
      </c>
      <c r="C112" s="3" t="s">
        <v>14</v>
      </c>
      <c r="D112" s="5">
        <v>6.3157894736842107E-2</v>
      </c>
      <c r="E112" s="6">
        <v>120000</v>
      </c>
      <c r="F112" s="6">
        <f>D112*E112</f>
        <v>7578.9473684210525</v>
      </c>
    </row>
    <row r="113" spans="1:6" x14ac:dyDescent="0.35">
      <c r="A113" s="3"/>
      <c r="B113" s="3" t="s">
        <v>17</v>
      </c>
      <c r="C113" s="3" t="s">
        <v>14</v>
      </c>
      <c r="D113" s="5">
        <v>5.105263157894737E-2</v>
      </c>
      <c r="E113" s="6">
        <v>150000</v>
      </c>
      <c r="F113" s="6">
        <f>D113*E113</f>
        <v>7657.8947368421059</v>
      </c>
    </row>
    <row r="114" spans="1:6" x14ac:dyDescent="0.35">
      <c r="A114" s="3"/>
      <c r="B114" s="7" t="s">
        <v>18</v>
      </c>
      <c r="C114" s="3"/>
      <c r="D114" s="3"/>
      <c r="E114" s="3"/>
      <c r="F114" s="8">
        <f>SUM(F111:F113)</f>
        <v>35236.84210526316</v>
      </c>
    </row>
    <row r="115" spans="1:6" x14ac:dyDescent="0.35">
      <c r="A115" s="3" t="s">
        <v>19</v>
      </c>
      <c r="B115" s="4" t="s">
        <v>20</v>
      </c>
      <c r="C115" s="3"/>
      <c r="D115" s="3"/>
      <c r="E115" s="3"/>
      <c r="F115" s="3"/>
    </row>
    <row r="116" spans="1:6" x14ac:dyDescent="0.35">
      <c r="A116" s="3"/>
      <c r="B116" s="3" t="s">
        <v>63</v>
      </c>
      <c r="C116" s="3" t="s">
        <v>24</v>
      </c>
      <c r="D116" s="5">
        <v>1</v>
      </c>
      <c r="E116" s="6">
        <v>48000</v>
      </c>
      <c r="F116" s="6">
        <f>D116*E116</f>
        <v>48000</v>
      </c>
    </row>
    <row r="117" spans="1:6" x14ac:dyDescent="0.35">
      <c r="A117" s="3"/>
      <c r="B117" s="7" t="s">
        <v>27</v>
      </c>
      <c r="C117" s="3"/>
      <c r="D117" s="3"/>
      <c r="E117" s="3"/>
      <c r="F117" s="8">
        <f>SUM(F116:F116)</f>
        <v>48000</v>
      </c>
    </row>
    <row r="118" spans="1:6" x14ac:dyDescent="0.35">
      <c r="A118" s="3" t="s">
        <v>28</v>
      </c>
      <c r="B118" s="4" t="s">
        <v>29</v>
      </c>
      <c r="C118" s="3"/>
      <c r="D118" s="3"/>
      <c r="E118" s="3"/>
      <c r="F118" s="3"/>
    </row>
    <row r="119" spans="1:6" x14ac:dyDescent="0.35">
      <c r="A119" s="3"/>
      <c r="B119" s="7" t="s">
        <v>30</v>
      </c>
      <c r="C119" s="3"/>
      <c r="D119" s="3"/>
      <c r="E119" s="3"/>
      <c r="F119" s="8">
        <v>0</v>
      </c>
    </row>
    <row r="120" spans="1:6" x14ac:dyDescent="0.35">
      <c r="A120" s="3" t="s">
        <v>31</v>
      </c>
      <c r="B120" s="4" t="s">
        <v>32</v>
      </c>
      <c r="C120" s="3"/>
      <c r="D120" s="3"/>
      <c r="E120" s="3"/>
      <c r="F120" s="8">
        <f>F114+F117+F119</f>
        <v>83236.84210526316</v>
      </c>
    </row>
    <row r="121" spans="1:6" x14ac:dyDescent="0.35">
      <c r="A121" s="3" t="s">
        <v>33</v>
      </c>
      <c r="B121" s="4" t="s">
        <v>34</v>
      </c>
      <c r="C121" s="3"/>
      <c r="D121" s="3"/>
      <c r="E121" s="3"/>
      <c r="F121" s="8">
        <f>ROUND(F120*10%, 2)</f>
        <v>8323.68</v>
      </c>
    </row>
    <row r="122" spans="1:6" x14ac:dyDescent="0.35">
      <c r="A122" s="3" t="s">
        <v>35</v>
      </c>
      <c r="B122" s="4" t="s">
        <v>36</v>
      </c>
      <c r="C122" s="3"/>
      <c r="D122" s="3"/>
      <c r="E122" s="3"/>
      <c r="F122" s="9">
        <f>F120+F121</f>
        <v>91560.522105263168</v>
      </c>
    </row>
    <row r="125" spans="1:6" x14ac:dyDescent="0.35">
      <c r="A125" s="1" t="s">
        <v>1</v>
      </c>
      <c r="B125" s="1" t="s">
        <v>64</v>
      </c>
      <c r="E125" s="1" t="s">
        <v>3</v>
      </c>
      <c r="F125" s="1" t="s">
        <v>65</v>
      </c>
    </row>
    <row r="126" spans="1:6" x14ac:dyDescent="0.35">
      <c r="A126" s="2" t="s">
        <v>5</v>
      </c>
      <c r="B126" s="2" t="s">
        <v>6</v>
      </c>
      <c r="C126" s="2" t="s">
        <v>7</v>
      </c>
      <c r="D126" s="2" t="s">
        <v>8</v>
      </c>
      <c r="E126" s="2" t="s">
        <v>9</v>
      </c>
      <c r="F126" s="2" t="s">
        <v>10</v>
      </c>
    </row>
    <row r="127" spans="1:6" x14ac:dyDescent="0.35">
      <c r="A127" s="3" t="s">
        <v>11</v>
      </c>
      <c r="B127" s="4" t="s">
        <v>12</v>
      </c>
      <c r="C127" s="3"/>
      <c r="D127" s="3"/>
      <c r="E127" s="3"/>
      <c r="F127" s="3"/>
    </row>
    <row r="128" spans="1:6" x14ac:dyDescent="0.35">
      <c r="A128" s="3"/>
      <c r="B128" s="3" t="s">
        <v>13</v>
      </c>
      <c r="C128" s="3" t="s">
        <v>14</v>
      </c>
      <c r="D128" s="5">
        <v>0.5</v>
      </c>
      <c r="E128" s="6">
        <v>95000</v>
      </c>
      <c r="F128" s="6">
        <f>D128*E128</f>
        <v>47500</v>
      </c>
    </row>
    <row r="129" spans="1:6" x14ac:dyDescent="0.35">
      <c r="A129" s="3"/>
      <c r="B129" s="3" t="s">
        <v>16</v>
      </c>
      <c r="C129" s="3" t="s">
        <v>14</v>
      </c>
      <c r="D129" s="5">
        <v>0.33333333333333331</v>
      </c>
      <c r="E129" s="6">
        <v>120000</v>
      </c>
      <c r="F129" s="6">
        <f>D129*E129</f>
        <v>40000</v>
      </c>
    </row>
    <row r="130" spans="1:6" x14ac:dyDescent="0.35">
      <c r="A130" s="3"/>
      <c r="B130" s="3" t="s">
        <v>17</v>
      </c>
      <c r="C130" s="3" t="s">
        <v>14</v>
      </c>
      <c r="D130" s="5">
        <v>0.16666666666666671</v>
      </c>
      <c r="E130" s="6">
        <v>150000</v>
      </c>
      <c r="F130" s="6">
        <f>D130*E130</f>
        <v>25000.000000000007</v>
      </c>
    </row>
    <row r="131" spans="1:6" x14ac:dyDescent="0.35">
      <c r="A131" s="3"/>
      <c r="B131" s="7" t="s">
        <v>18</v>
      </c>
      <c r="C131" s="3"/>
      <c r="D131" s="3"/>
      <c r="E131" s="3"/>
      <c r="F131" s="8">
        <f>SUM(F128:F130)</f>
        <v>112500</v>
      </c>
    </row>
    <row r="132" spans="1:6" x14ac:dyDescent="0.35">
      <c r="A132" s="3" t="s">
        <v>19</v>
      </c>
      <c r="B132" s="4" t="s">
        <v>20</v>
      </c>
      <c r="C132" s="3"/>
      <c r="D132" s="3"/>
      <c r="E132" s="3"/>
      <c r="F132" s="3"/>
    </row>
    <row r="133" spans="1:6" x14ac:dyDescent="0.35">
      <c r="A133" s="3"/>
      <c r="B133" s="3" t="s">
        <v>66</v>
      </c>
      <c r="C133" s="3" t="s">
        <v>43</v>
      </c>
      <c r="D133" s="5">
        <v>1</v>
      </c>
      <c r="E133" s="6">
        <v>416</v>
      </c>
      <c r="F133" s="6">
        <f>D133*E133</f>
        <v>416</v>
      </c>
    </row>
    <row r="134" spans="1:6" x14ac:dyDescent="0.35">
      <c r="A134" s="3"/>
      <c r="B134" s="3" t="s">
        <v>67</v>
      </c>
      <c r="C134" s="3" t="s">
        <v>68</v>
      </c>
      <c r="D134" s="5">
        <v>1</v>
      </c>
      <c r="E134" s="6">
        <v>15000</v>
      </c>
      <c r="F134" s="6">
        <f>D134*E134</f>
        <v>15000</v>
      </c>
    </row>
    <row r="135" spans="1:6" x14ac:dyDescent="0.35">
      <c r="A135" s="3"/>
      <c r="B135" s="3" t="s">
        <v>69</v>
      </c>
      <c r="C135" s="3" t="s">
        <v>24</v>
      </c>
      <c r="D135" s="5">
        <v>1</v>
      </c>
      <c r="E135" s="6">
        <v>19000</v>
      </c>
      <c r="F135" s="6">
        <f>D135*E135</f>
        <v>19000</v>
      </c>
    </row>
    <row r="136" spans="1:6" x14ac:dyDescent="0.35">
      <c r="A136" s="3"/>
      <c r="B136" s="7" t="s">
        <v>27</v>
      </c>
      <c r="C136" s="3"/>
      <c r="D136" s="3"/>
      <c r="E136" s="3"/>
      <c r="F136" s="8">
        <f>SUM(F133:F135)</f>
        <v>34416</v>
      </c>
    </row>
    <row r="137" spans="1:6" x14ac:dyDescent="0.35">
      <c r="A137" s="3" t="s">
        <v>28</v>
      </c>
      <c r="B137" s="4" t="s">
        <v>29</v>
      </c>
      <c r="C137" s="3"/>
      <c r="D137" s="3"/>
      <c r="E137" s="3"/>
      <c r="F137" s="3"/>
    </row>
    <row r="138" spans="1:6" x14ac:dyDescent="0.35">
      <c r="A138" s="3"/>
      <c r="B138" s="7" t="s">
        <v>30</v>
      </c>
      <c r="C138" s="3"/>
      <c r="D138" s="3"/>
      <c r="E138" s="3"/>
      <c r="F138" s="8">
        <v>0</v>
      </c>
    </row>
    <row r="139" spans="1:6" x14ac:dyDescent="0.35">
      <c r="A139" s="3" t="s">
        <v>31</v>
      </c>
      <c r="B139" s="4" t="s">
        <v>32</v>
      </c>
      <c r="C139" s="3"/>
      <c r="D139" s="3"/>
      <c r="E139" s="3"/>
      <c r="F139" s="8">
        <f>F131+F136+F138</f>
        <v>146916</v>
      </c>
    </row>
    <row r="140" spans="1:6" x14ac:dyDescent="0.35">
      <c r="A140" s="3" t="s">
        <v>33</v>
      </c>
      <c r="B140" s="4" t="s">
        <v>34</v>
      </c>
      <c r="C140" s="3"/>
      <c r="D140" s="3"/>
      <c r="E140" s="3"/>
      <c r="F140" s="8">
        <f>ROUND(F139*10%, 2)</f>
        <v>14691.6</v>
      </c>
    </row>
    <row r="141" spans="1:6" x14ac:dyDescent="0.35">
      <c r="A141" s="3" t="s">
        <v>35</v>
      </c>
      <c r="B141" s="4" t="s">
        <v>36</v>
      </c>
      <c r="C141" s="3"/>
      <c r="D141" s="3"/>
      <c r="E141" s="3"/>
      <c r="F141" s="9">
        <f>F139+F140</f>
        <v>161607.6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>
      <selection sqref="A1:F1"/>
    </sheetView>
  </sheetViews>
  <sheetFormatPr defaultRowHeight="14.5" x14ac:dyDescent="0.35"/>
  <cols>
    <col min="1" max="1" width="5" customWidth="1"/>
    <col min="2" max="2" width="54.81640625" bestFit="1" customWidth="1"/>
    <col min="3" max="4" width="10" customWidth="1"/>
    <col min="5" max="5" width="15" customWidth="1"/>
    <col min="6" max="6" width="18" customWidth="1"/>
  </cols>
  <sheetData>
    <row r="1" spans="1:6" ht="15.5" x14ac:dyDescent="0.35">
      <c r="A1" s="13" t="s">
        <v>70</v>
      </c>
      <c r="B1" s="11"/>
      <c r="C1" s="11"/>
      <c r="D1" s="11"/>
      <c r="E1" s="11"/>
      <c r="F1" s="11"/>
    </row>
    <row r="2" spans="1:6" x14ac:dyDescent="0.35">
      <c r="A2" s="12" t="s">
        <v>71</v>
      </c>
      <c r="B2" s="11"/>
      <c r="C2" s="11"/>
      <c r="D2" s="11"/>
      <c r="E2" s="11"/>
      <c r="F2" s="11"/>
    </row>
    <row r="3" spans="1:6" x14ac:dyDescent="0.35">
      <c r="A3" s="12" t="s">
        <v>72</v>
      </c>
      <c r="B3" s="11"/>
      <c r="C3" s="11"/>
      <c r="D3" s="11"/>
      <c r="E3" s="11"/>
      <c r="F3" s="11"/>
    </row>
    <row r="5" spans="1:6" x14ac:dyDescent="0.35">
      <c r="A5" s="2" t="s">
        <v>5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</row>
    <row r="6" spans="1:6" x14ac:dyDescent="0.35">
      <c r="A6" s="3">
        <v>1</v>
      </c>
      <c r="B6" s="3" t="s">
        <v>2</v>
      </c>
      <c r="C6" s="3">
        <v>20</v>
      </c>
      <c r="D6" s="3" t="s">
        <v>22</v>
      </c>
      <c r="E6" s="6">
        <f>'AHSP 2026'!F21</f>
        <v>412682.6</v>
      </c>
      <c r="F6" s="6">
        <f t="shared" ref="F6:F12" si="0">C6*E6</f>
        <v>8253652</v>
      </c>
    </row>
    <row r="7" spans="1:6" x14ac:dyDescent="0.35">
      <c r="A7" s="3">
        <v>2</v>
      </c>
      <c r="B7" s="3" t="s">
        <v>37</v>
      </c>
      <c r="C7" s="3">
        <v>5</v>
      </c>
      <c r="D7" s="3" t="s">
        <v>22</v>
      </c>
      <c r="E7" s="6">
        <f>'AHSP 2026'!F39</f>
        <v>44980.32</v>
      </c>
      <c r="F7" s="6">
        <f t="shared" si="0"/>
        <v>224901.6</v>
      </c>
    </row>
    <row r="8" spans="1:6" x14ac:dyDescent="0.35">
      <c r="A8" s="3">
        <v>3</v>
      </c>
      <c r="B8" s="3" t="s">
        <v>2</v>
      </c>
      <c r="C8" s="3">
        <v>6</v>
      </c>
      <c r="D8" s="3" t="s">
        <v>22</v>
      </c>
      <c r="E8" s="6">
        <f>'AHSP 2026'!F57</f>
        <v>432575</v>
      </c>
      <c r="F8" s="6">
        <f t="shared" si="0"/>
        <v>2595450</v>
      </c>
    </row>
    <row r="9" spans="1:6" x14ac:dyDescent="0.35">
      <c r="A9" s="3">
        <v>4</v>
      </c>
      <c r="B9" s="3" t="s">
        <v>40</v>
      </c>
      <c r="C9" s="3">
        <v>10</v>
      </c>
      <c r="D9" s="3" t="s">
        <v>22</v>
      </c>
      <c r="E9" s="6">
        <f>'AHSP 2026'!F75</f>
        <v>87023.75</v>
      </c>
      <c r="F9" s="6">
        <f t="shared" si="0"/>
        <v>870237.5</v>
      </c>
    </row>
    <row r="10" spans="1:6" x14ac:dyDescent="0.35">
      <c r="A10" s="3">
        <v>5</v>
      </c>
      <c r="B10" s="3" t="s">
        <v>44</v>
      </c>
      <c r="C10" s="3">
        <v>2</v>
      </c>
      <c r="D10" s="3" t="s">
        <v>78</v>
      </c>
      <c r="E10" s="6">
        <f>'AHSP 2026'!F105</f>
        <v>9007625</v>
      </c>
      <c r="F10" s="6">
        <f t="shared" si="0"/>
        <v>18015250</v>
      </c>
    </row>
    <row r="11" spans="1:6" x14ac:dyDescent="0.35">
      <c r="A11" s="3">
        <v>6</v>
      </c>
      <c r="B11" s="3" t="s">
        <v>61</v>
      </c>
      <c r="C11" s="3">
        <v>19</v>
      </c>
      <c r="D11" s="3" t="s">
        <v>79</v>
      </c>
      <c r="E11" s="6">
        <f>'AHSP 2026'!F122</f>
        <v>91560.522105263168</v>
      </c>
      <c r="F11" s="6">
        <f t="shared" si="0"/>
        <v>1739649.9200000002</v>
      </c>
    </row>
    <row r="12" spans="1:6" x14ac:dyDescent="0.35">
      <c r="A12" s="3">
        <v>7</v>
      </c>
      <c r="B12" s="3" t="s">
        <v>64</v>
      </c>
      <c r="C12" s="3">
        <v>3</v>
      </c>
      <c r="D12" s="3" t="s">
        <v>68</v>
      </c>
      <c r="E12" s="6">
        <f>'AHSP 2026'!F141</f>
        <v>161607.6</v>
      </c>
      <c r="F12" s="6">
        <f t="shared" si="0"/>
        <v>484822.80000000005</v>
      </c>
    </row>
    <row r="13" spans="1:6" x14ac:dyDescent="0.35">
      <c r="A13" s="3"/>
      <c r="B13" s="7" t="s">
        <v>80</v>
      </c>
      <c r="C13" s="3"/>
      <c r="D13" s="3"/>
      <c r="E13" s="3"/>
      <c r="F13" s="8">
        <f>SUM(F6:F12)</f>
        <v>32183963.820000004</v>
      </c>
    </row>
    <row r="14" spans="1:6" x14ac:dyDescent="0.35">
      <c r="A14" s="3"/>
      <c r="B14" s="7" t="s">
        <v>81</v>
      </c>
      <c r="C14" s="3"/>
      <c r="D14" s="3"/>
      <c r="E14" s="3"/>
      <c r="F14" s="8">
        <f>ROUND(F13*11%, 2)</f>
        <v>3540236.02</v>
      </c>
    </row>
    <row r="15" spans="1:6" x14ac:dyDescent="0.35">
      <c r="A15" s="3"/>
      <c r="B15" s="7" t="s">
        <v>82</v>
      </c>
      <c r="C15" s="3"/>
      <c r="D15" s="3"/>
      <c r="E15" s="3"/>
      <c r="F15" s="9">
        <f>F13+F14</f>
        <v>35724199.840000004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AHSP 2026</vt:lpstr>
      <vt:lpstr>Rekapitulasi 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11</cp:lastModifiedBy>
  <dcterms:created xsi:type="dcterms:W3CDTF">2026-07-03T01:54:39Z</dcterms:created>
  <dcterms:modified xsi:type="dcterms:W3CDTF">2026-07-03T03:04:30Z</dcterms:modified>
</cp:coreProperties>
</file>